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m\Desktop\"/>
    </mc:Choice>
  </mc:AlternateContent>
  <bookViews>
    <workbookView xWindow="28680" yWindow="-120" windowWidth="29040" windowHeight="16440"/>
  </bookViews>
  <sheets>
    <sheet name="Dashboard" sheetId="1" r:id="rId1"/>
    <sheet name="Workings" sheetId="3" r:id="rId2"/>
  </sheets>
  <definedNames>
    <definedName name="Slicer_Sort_By">#N/A</definedName>
    <definedName name="Slicer_Sort_Order">#N/A</definedName>
    <definedName name="Sparklines">INDEX(StudentData[[1st Score]:[Final Score]],MATCH(Dashboard!XEU1,StudentData[Student ID],0),0)</definedName>
  </definedNames>
  <calcPr calcId="152511" calcOnSave="0"/>
  <pivotCaches>
    <pivotCache cacheId="0" r:id="rId3"/>
    <pivotCache cacheId="1" r:id="rId4"/>
    <pivotCache cacheId="2" r:id="rId5"/>
    <pivotCache cacheId="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7" i="3" l="1"/>
  <c r="D37" i="3"/>
  <c r="E37" i="3"/>
  <c r="B4" i="1" a="1"/>
  <c r="B4" i="1" s="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C4" i="1" l="1" a="1"/>
  <c r="C4" i="1" s="1"/>
  <c r="O4" i="1" a="1"/>
  <c r="O4" i="1" s="1"/>
  <c r="S4" i="1" a="1"/>
  <c r="S4" i="1" s="1"/>
  <c r="N4" i="1" a="1"/>
  <c r="N4" i="1" s="1"/>
  <c r="Q4" i="1" a="1"/>
  <c r="Q4" i="1" s="1"/>
  <c r="P4" i="1" a="1"/>
  <c r="P4" i="1" s="1"/>
  <c r="K4" i="1" a="1"/>
  <c r="K4" i="1" s="1"/>
  <c r="E4" i="1" a="1"/>
  <c r="R4" i="1" a="1"/>
  <c r="R4" i="1" s="1"/>
  <c r="E4" i="1" l="1"/>
  <c r="F4" i="1" s="1" a="1"/>
  <c r="F4" i="1" s="1"/>
  <c r="J4" i="1" l="1" a="1"/>
  <c r="J4" i="1" s="1"/>
  <c r="G4" i="1" a="1"/>
  <c r="G4" i="1" s="1"/>
  <c r="I4" i="1" a="1"/>
  <c r="I4" i="1" s="1"/>
  <c r="H4" i="1" a="1"/>
  <c r="H4" i="1" s="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<sst xmlns="http://schemas.openxmlformats.org/spreadsheetml/2006/main" count="144" uniqueCount="55">
  <si>
    <t>failures</t>
  </si>
  <si>
    <t>health</t>
  </si>
  <si>
    <t>absences</t>
  </si>
  <si>
    <t>F</t>
  </si>
  <si>
    <t>A</t>
  </si>
  <si>
    <t>M</t>
  </si>
  <si>
    <t>gender</t>
  </si>
  <si>
    <t>ID</t>
  </si>
  <si>
    <t>Grade</t>
  </si>
  <si>
    <t>Gender</t>
  </si>
  <si>
    <t>B</t>
  </si>
  <si>
    <t>C</t>
  </si>
  <si>
    <t>D</t>
  </si>
  <si>
    <t>Score</t>
  </si>
  <si>
    <t>Last 3 Scores</t>
  </si>
  <si>
    <t>Overall Grades</t>
  </si>
  <si>
    <t>Absences</t>
  </si>
  <si>
    <t>Final Score</t>
  </si>
  <si>
    <t>1st Score</t>
  </si>
  <si>
    <t>2nd Score</t>
  </si>
  <si>
    <t>Sort By</t>
  </si>
  <si>
    <t>Family Size</t>
  </si>
  <si>
    <t>Travel Time</t>
  </si>
  <si>
    <t>Study Time</t>
  </si>
  <si>
    <t>travel time</t>
  </si>
  <si>
    <t>study time</t>
  </si>
  <si>
    <t>Health</t>
  </si>
  <si>
    <t>Final Grade</t>
  </si>
  <si>
    <t>Student ID</t>
  </si>
  <si>
    <t>&lt; 3</t>
  </si>
  <si>
    <t>3 +</t>
  </si>
  <si>
    <t>Failures</t>
  </si>
  <si>
    <t>Sort Order</t>
  </si>
  <si>
    <t>Ascending</t>
  </si>
  <si>
    <t>Descending</t>
  </si>
  <si>
    <t>Value</t>
  </si>
  <si>
    <t>Sum of Value</t>
  </si>
  <si>
    <t>Average Score</t>
  </si>
  <si>
    <t>1st</t>
  </si>
  <si>
    <t>2nd</t>
  </si>
  <si>
    <t>Final</t>
  </si>
  <si>
    <t>Study</t>
  </si>
  <si>
    <t>Time</t>
  </si>
  <si>
    <t>Travel</t>
  </si>
  <si>
    <t>Family</t>
  </si>
  <si>
    <t>Size</t>
  </si>
  <si>
    <t xml:space="preserve">---l &lt;2 hr/wk
------l 2-5 hrs
---------l 5-10
</t>
  </si>
  <si>
    <t>Days</t>
  </si>
  <si>
    <t>Absent</t>
  </si>
  <si>
    <t>Line Chart</t>
  </si>
  <si>
    <t>Sort By No DA</t>
  </si>
  <si>
    <t>Dynamic Arrays</t>
  </si>
  <si>
    <t>No Dynamic Arrays</t>
  </si>
  <si>
    <t>Mapping of final score to grade</t>
  </si>
  <si>
    <t>Student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</si>
</sst>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0;\-0;"/>
  </numFmts>
  <fonts count="12" x14ac:knownFonts="1">
    <font>
      <sz val="11"/>
      <color theme="1"/>
      <name val="Calibri"/>
      <family val="2"/>
      <scheme val="minor"/>
    </font>
    <font>
      <sz val="10"/>
      <color theme="1"/>
      <name val="Calibri"/>
      <family val="2"/>
      <scheme val="minor"/>
    </font>
    <font>
      <b/>
      <sz val="10"/>
      <color rgb="FF00B0F0"/>
      <name val="Wingdings"/>
      <charset val="2"/>
    </font>
    <font>
      <b/>
      <sz val="10"/>
      <color theme="1" tint="0.499984740745262"/>
      <name val="Calibri"/>
      <family val="2"/>
      <scheme val="minor"/>
    </font>
    <font>
      <sz val="11"/>
      <color theme="1" tint="0.34998626667073579"/>
      <name val="Calibri"/>
      <family val="2"/>
      <scheme val="minor"/>
    </font>
    <font>
      <sz val="11"/>
      <color rgb="FF0070C0"/>
      <name val="Calibri"/>
      <family val="2"/>
      <scheme val="minor"/>
    </font>
    <font>
      <b/>
      <sz val="11"/>
      <color theme="0"/>
      <name val="Calibri"/>
      <family val="2"/>
      <scheme val="minor"/>
    </font>
    <font>
      <sz val="11"/>
      <color theme="1"/>
      <name val="Calibri"/>
      <family val="2"/>
      <scheme val="minor"/>
    </font>
    <font>
      <sz val="10"/>
      <color theme="1" tint="0.34998626667073579"/>
      <name val="Calibri"/>
      <family val="2"/>
      <scheme val="minor"/>
    </font>
    <font>
      <i/>
      <sz val="11"/>
      <color theme="1"/>
      <name val="Calibri"/>
      <family val="2"/>
      <scheme val="minor"/>
    </font>
    <font>
      <b/>
      <sz val="11"/>
      <color theme="1"/>
      <name val="Calibri"/>
      <family val="2"/>
      <scheme val="minor"/>
    </font>
    <font>
      <b/>
      <i/>
      <u/>
      <sz val="28"/>
      <color theme="1"/>
      <name val="Arial Rounded MT Bold"/>
      <family val="2"/>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B6B6B6"/>
        <bgColor indexed="64"/>
      </patternFill>
    </fill>
    <fill>
      <patternFill patternType="solid">
        <fgColor rgb="FFC9C9C9"/>
        <bgColor indexed="64"/>
      </patternFill>
    </fill>
    <fill>
      <patternFill patternType="solid">
        <fgColor theme="4"/>
        <bgColor theme="4"/>
      </patternFill>
    </fill>
  </fills>
  <borders count="13">
    <border>
      <left/>
      <right/>
      <top/>
      <bottom/>
      <diagonal/>
    </border>
    <border>
      <left/>
      <right/>
      <top/>
      <bottom style="thin">
        <color indexed="64"/>
      </bottom>
      <diagonal/>
    </border>
    <border>
      <left/>
      <right/>
      <top style="thin">
        <color theme="4" tint="0.39997558519241921"/>
      </top>
      <bottom style="thin">
        <color theme="4" tint="0.39997558519241921"/>
      </bottom>
      <diagonal/>
    </border>
    <border>
      <left/>
      <right/>
      <top/>
      <bottom style="dotted">
        <color theme="0" tint="-0.14996795556505021"/>
      </bottom>
      <diagonal/>
    </border>
    <border>
      <left/>
      <right/>
      <top style="dotted">
        <color theme="0" tint="-0.14996795556505021"/>
      </top>
      <bottom style="dotted">
        <color theme="0" tint="-0.14996795556505021"/>
      </bottom>
      <diagonal/>
    </border>
    <border>
      <left style="thin">
        <color theme="0" tint="-0.14993743705557422"/>
      </left>
      <right/>
      <top/>
      <bottom/>
      <diagonal/>
    </border>
    <border>
      <left/>
      <right style="thin">
        <color theme="0" tint="-0.14993743705557422"/>
      </right>
      <top/>
      <bottom/>
      <diagonal/>
    </border>
    <border>
      <left style="thin">
        <color theme="0" tint="-0.14993743705557422"/>
      </left>
      <right/>
      <top/>
      <bottom style="thin">
        <color indexed="64"/>
      </bottom>
      <diagonal/>
    </border>
    <border>
      <left/>
      <right style="thin">
        <color theme="0" tint="-0.14993743705557422"/>
      </right>
      <top/>
      <bottom style="thin">
        <color indexed="64"/>
      </bottom>
      <diagonal/>
    </border>
    <border>
      <left style="thin">
        <color theme="0" tint="-0.14993743705557422"/>
      </left>
      <right/>
      <top/>
      <bottom style="dotted">
        <color theme="0" tint="-0.14996795556505021"/>
      </bottom>
      <diagonal/>
    </border>
    <border>
      <left/>
      <right style="thin">
        <color theme="0" tint="-0.14993743705557422"/>
      </right>
      <top/>
      <bottom style="dotted">
        <color theme="0" tint="-0.14996795556505021"/>
      </bottom>
      <diagonal/>
    </border>
    <border>
      <left style="thin">
        <color theme="0" tint="-0.14993743705557422"/>
      </left>
      <right/>
      <top style="dotted">
        <color theme="0" tint="-0.14996795556505021"/>
      </top>
      <bottom style="dotted">
        <color theme="0" tint="-0.14996795556505021"/>
      </bottom>
      <diagonal/>
    </border>
    <border>
      <left/>
      <right style="thin">
        <color theme="0" tint="-0.14993743705557422"/>
      </right>
      <top style="dotted">
        <color theme="0" tint="-0.14996795556505021"/>
      </top>
      <bottom style="dotted">
        <color theme="0" tint="-0.14996795556505021"/>
      </bottom>
      <diagonal/>
    </border>
  </borders>
  <cellStyleXfs count="2">
    <xf numFmtId="0" fontId="0" fillId="0" borderId="0"/>
    <xf numFmtId="164" fontId="7" fillId="0" borderId="0" applyFont="0" applyFill="0" applyBorder="0" applyAlignment="0" applyProtection="0"/>
  </cellStyleXfs>
  <cellXfs count="48">
    <xf numFmtId="0" fontId="0" fillId="0" borderId="0" xfId="0"/>
    <xf numFmtId="0" fontId="0" fillId="0" borderId="0" xfId="0" applyAlignment="1">
      <alignment horizontal="center"/>
    </xf>
    <xf numFmtId="0" fontId="1" fillId="0" borderId="0" xfId="0" applyFont="1" applyAlignment="1">
      <alignment horizontal="left" vertic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0" xfId="0" pivotButton="1"/>
    <xf numFmtId="0" fontId="0" fillId="0" borderId="1" xfId="0" applyBorder="1" applyAlignment="1">
      <alignment horizontal="center" vertical="center"/>
    </xf>
    <xf numFmtId="0" fontId="1" fillId="0" borderId="0" xfId="0" applyFont="1" applyAlignment="1">
      <alignment vertical="center"/>
    </xf>
    <xf numFmtId="0" fontId="0" fillId="0" borderId="3" xfId="0" applyBorder="1" applyAlignment="1">
      <alignment horizontal="center"/>
    </xf>
    <xf numFmtId="0" fontId="2" fillId="0" borderId="3" xfId="0" applyFont="1" applyBorder="1" applyAlignment="1">
      <alignment horizontal="center" vertical="center"/>
    </xf>
    <xf numFmtId="0" fontId="2" fillId="2" borderId="3" xfId="0" applyFont="1" applyFill="1" applyBorder="1" applyAlignment="1">
      <alignment horizontal="center" vertical="center"/>
    </xf>
    <xf numFmtId="0" fontId="2" fillId="3" borderId="3" xfId="0" applyFont="1" applyFill="1" applyBorder="1" applyAlignment="1">
      <alignment horizontal="center" vertical="center"/>
    </xf>
    <xf numFmtId="0" fontId="2" fillId="5" borderId="3" xfId="0" applyFont="1" applyFill="1" applyBorder="1" applyAlignment="1">
      <alignment horizontal="center"/>
    </xf>
    <xf numFmtId="0" fontId="2" fillId="4" borderId="3" xfId="0" applyFont="1" applyFill="1" applyBorder="1" applyAlignment="1">
      <alignment horizontal="center" vertical="center"/>
    </xf>
    <xf numFmtId="0" fontId="3" fillId="0" borderId="3" xfId="0" applyFont="1" applyBorder="1" applyAlignment="1">
      <alignment horizontal="center" vertical="center"/>
    </xf>
    <xf numFmtId="0" fontId="0" fillId="0" borderId="3" xfId="0" applyBorder="1"/>
    <xf numFmtId="165" fontId="0" fillId="0" borderId="3" xfId="0" applyNumberFormat="1" applyBorder="1" applyAlignment="1">
      <alignment horizontal="center"/>
    </xf>
    <xf numFmtId="0" fontId="5" fillId="0" borderId="3" xfId="0" applyFont="1" applyBorder="1" applyAlignment="1">
      <alignment horizontal="left"/>
    </xf>
    <xf numFmtId="0" fontId="4" fillId="0" borderId="3" xfId="0" applyFont="1" applyBorder="1" applyAlignment="1">
      <alignment horizontal="center"/>
    </xf>
    <xf numFmtId="0" fontId="0" fillId="0" borderId="4" xfId="0" applyBorder="1" applyAlignment="1">
      <alignment horizontal="center"/>
    </xf>
    <xf numFmtId="0" fontId="2" fillId="0" borderId="4" xfId="0" applyFont="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5" borderId="4" xfId="0" applyFont="1" applyFill="1" applyBorder="1" applyAlignment="1">
      <alignment horizontal="center"/>
    </xf>
    <xf numFmtId="0" fontId="2" fillId="4" borderId="4" xfId="0" applyFont="1" applyFill="1" applyBorder="1" applyAlignment="1">
      <alignment horizontal="center" vertical="center"/>
    </xf>
    <xf numFmtId="0" fontId="3" fillId="0" borderId="4" xfId="0" applyFont="1" applyBorder="1" applyAlignment="1">
      <alignment horizontal="center" vertical="center"/>
    </xf>
    <xf numFmtId="0" fontId="0" fillId="0" borderId="4" xfId="0" applyBorder="1"/>
    <xf numFmtId="165" fontId="0" fillId="0" borderId="4" xfId="0" applyNumberFormat="1" applyBorder="1" applyAlignment="1">
      <alignment horizontal="center"/>
    </xf>
    <xf numFmtId="0" fontId="5" fillId="0" borderId="4" xfId="0" applyFont="1" applyBorder="1" applyAlignment="1">
      <alignment horizontal="left"/>
    </xf>
    <xf numFmtId="0" fontId="4" fillId="0" borderId="4" xfId="0" applyFont="1" applyBorder="1" applyAlignment="1">
      <alignment horizontal="center"/>
    </xf>
    <xf numFmtId="0" fontId="0" fillId="0" borderId="5" xfId="0" applyBorder="1" applyAlignment="1">
      <alignment horizontal="centerContinuous"/>
    </xf>
    <xf numFmtId="0" fontId="0" fillId="0" borderId="0" xfId="0" applyAlignment="1">
      <alignment horizontal="centerContinuous"/>
    </xf>
    <xf numFmtId="0" fontId="0" fillId="0" borderId="6" xfId="0" applyBorder="1" applyAlignment="1">
      <alignment horizontal="centerContinuous"/>
    </xf>
    <xf numFmtId="0" fontId="0" fillId="0" borderId="7" xfId="0" applyBorder="1"/>
    <xf numFmtId="0" fontId="0" fillId="0" borderId="8" xfId="0" applyBorder="1" applyAlignment="1">
      <alignment horizontal="center"/>
    </xf>
    <xf numFmtId="0" fontId="4" fillId="0" borderId="9" xfId="0" applyFont="1" applyBorder="1" applyAlignment="1">
      <alignment vertical="center"/>
    </xf>
    <xf numFmtId="0" fontId="0" fillId="0" borderId="10" xfId="0" applyBorder="1"/>
    <xf numFmtId="0" fontId="4" fillId="0" borderId="11" xfId="0" applyFont="1" applyBorder="1" applyAlignment="1">
      <alignment vertical="center"/>
    </xf>
    <xf numFmtId="0" fontId="0" fillId="0" borderId="12" xfId="0" applyBorder="1"/>
    <xf numFmtId="0" fontId="8" fillId="0" borderId="3" xfId="0" applyFont="1" applyBorder="1" applyAlignment="1">
      <alignment horizontal="left"/>
    </xf>
    <xf numFmtId="0" fontId="8" fillId="0" borderId="4" xfId="0" applyFont="1" applyBorder="1" applyAlignment="1">
      <alignment horizontal="left"/>
    </xf>
    <xf numFmtId="0" fontId="6" fillId="6" borderId="2" xfId="0" applyFont="1" applyFill="1" applyBorder="1" applyAlignment="1">
      <alignment horizontal="center"/>
    </xf>
    <xf numFmtId="2" fontId="0" fillId="0" borderId="0" xfId="1" applyNumberFormat="1" applyFont="1" applyAlignment="1">
      <alignment horizontal="center"/>
    </xf>
    <xf numFmtId="0" fontId="5" fillId="0" borderId="0" xfId="0" quotePrefix="1" applyFont="1" applyAlignment="1">
      <alignment vertical="top" wrapText="1"/>
    </xf>
    <xf numFmtId="0" fontId="10" fillId="0" borderId="0" xfId="0" applyFont="1"/>
    <xf numFmtId="0" fontId="0" fillId="0" borderId="0" xfId="0" applyNumberFormat="1"/>
    <xf numFmtId="0" fontId="9" fillId="0" borderId="0" xfId="0" applyFont="1" applyAlignment="1">
      <alignment horizontal="left" vertical="top" wrapText="1"/>
    </xf>
    <xf numFmtId="0" fontId="11" fillId="0" borderId="0" xfId="0" applyFont="1" applyAlignment="1">
      <alignment horizontal="left" vertical="top" wrapText="1"/>
    </xf>
  </cellXfs>
  <cellStyles count="2">
    <cellStyle name="Comma" xfId="1" builtinId="3"/>
    <cellStyle name="Normal" xfId="0" builtinId="0"/>
  </cellStyles>
  <dxfs count="13">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B9DFFF"/>
      <color rgb="FFABE9FF"/>
      <color rgb="FFC9C9C9"/>
      <color rgb="FFB6B6B6"/>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18" Type="http://schemas.microsoft.com/office/2017/10/relationships/person" Target="persons/person.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50000"/>
                    <a:lumOff val="50000"/>
                  </a:schemeClr>
                </a:solidFill>
                <a:latin typeface="+mn-lt"/>
                <a:ea typeface="+mn-ea"/>
                <a:cs typeface="+mn-cs"/>
              </a:defRPr>
            </a:pPr>
            <a:r>
              <a:rPr lang="en-AU" sz="1000">
                <a:solidFill>
                  <a:schemeClr val="tx1">
                    <a:lumMod val="50000"/>
                    <a:lumOff val="50000"/>
                  </a:schemeClr>
                </a:solidFill>
              </a:rPr>
              <a:t>Average Scores</a:t>
            </a:r>
          </a:p>
        </c:rich>
      </c:tx>
      <c:layout>
        <c:manualLayout>
          <c:xMode val="edge"/>
          <c:yMode val="edge"/>
          <c:x val="0.21668489355497231"/>
          <c:y val="1.077202202202202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
          <c:y val="0.28347573574579771"/>
          <c:w val="0.97684018664333627"/>
          <c:h val="0.4266116116116116"/>
        </c:manualLayout>
      </c:layout>
      <c:lineChart>
        <c:grouping val="standard"/>
        <c:varyColors val="0"/>
        <c:ser>
          <c:idx val="0"/>
          <c:order val="0"/>
          <c:tx>
            <c:strRef>
              <c:f>Workings!$B$37</c:f>
              <c:strCache>
                <c:ptCount val="1"/>
                <c:pt idx="0">
                  <c:v>Average Score</c:v>
                </c:pt>
              </c:strCache>
            </c:strRef>
          </c:tx>
          <c:spPr>
            <a:ln w="28575" cap="rnd">
              <a:solidFill>
                <a:srgbClr val="00B0F0"/>
              </a:solidFill>
              <a:round/>
            </a:ln>
            <a:effectLst/>
          </c:spPr>
          <c:marker>
            <c:symbol val="none"/>
          </c:marker>
          <c:dLbls>
            <c:numFmt formatCode="#,##0" sourceLinked="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Workings!$C$36:$E$36</c:f>
              <c:strCache>
                <c:ptCount val="3"/>
                <c:pt idx="0">
                  <c:v>1st</c:v>
                </c:pt>
                <c:pt idx="1">
                  <c:v>2nd</c:v>
                </c:pt>
                <c:pt idx="2">
                  <c:v>Final</c:v>
                </c:pt>
              </c:strCache>
            </c:strRef>
          </c:cat>
          <c:val>
            <c:numRef>
              <c:f>Workings!$C$37:$E$37</c:f>
              <c:numCache>
                <c:formatCode>0.00</c:formatCode>
                <c:ptCount val="3"/>
                <c:pt idx="0">
                  <c:v>10.9</c:v>
                </c:pt>
                <c:pt idx="1">
                  <c:v>11.666666666666666</c:v>
                </c:pt>
                <c:pt idx="2">
                  <c:v>11.766666666666667</c:v>
                </c:pt>
              </c:numCache>
            </c:numRef>
          </c:val>
          <c:smooth val="0"/>
          <c:extLst xmlns:c16r2="http://schemas.microsoft.com/office/drawing/2015/06/chart">
            <c:ext xmlns:c16="http://schemas.microsoft.com/office/drawing/2014/chart" uri="{C3380CC4-5D6E-409C-BE32-E72D297353CC}">
              <c16:uniqueId val="{00000000-DECD-40B6-8F56-C860DB4EE1E4}"/>
            </c:ext>
          </c:extLst>
        </c:ser>
        <c:dLbls>
          <c:dLblPos val="t"/>
          <c:showLegendKey val="0"/>
          <c:showVal val="1"/>
          <c:showCatName val="0"/>
          <c:showSerName val="0"/>
          <c:showPercent val="0"/>
          <c:showBubbleSize val="0"/>
        </c:dLbls>
        <c:smooth val="0"/>
        <c:axId val="303788744"/>
        <c:axId val="303205744"/>
      </c:lineChart>
      <c:catAx>
        <c:axId val="303788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3205744"/>
        <c:crosses val="autoZero"/>
        <c:auto val="1"/>
        <c:lblAlgn val="ctr"/>
        <c:lblOffset val="100"/>
        <c:noMultiLvlLbl val="0"/>
      </c:catAx>
      <c:valAx>
        <c:axId val="303205744"/>
        <c:scaling>
          <c:orientation val="minMax"/>
        </c:scaling>
        <c:delete val="1"/>
        <c:axPos val="l"/>
        <c:numFmt formatCode="0.00" sourceLinked="1"/>
        <c:majorTickMark val="none"/>
        <c:minorTickMark val="none"/>
        <c:tickLblPos val="nextTo"/>
        <c:crossAx val="3037887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85012</xdr:rowOff>
    </xdr:from>
    <xdr:to>
      <xdr:col>7</xdr:col>
      <xdr:colOff>104775</xdr:colOff>
      <xdr:row>0</xdr:row>
      <xdr:rowOff>884212</xdr:rowOff>
    </xdr:to>
    <xdr:graphicFrame macro="">
      <xdr:nvGraphicFramePr>
        <xdr:cNvPr id="4" name="Chart 3">
          <a:extLst>
            <a:ext uri="{FF2B5EF4-FFF2-40B4-BE49-F238E27FC236}">
              <a16:creationId xmlns:a16="http://schemas.microsoft.com/office/drawing/2014/main" xmlns="" id="{D0714B20-8269-4EDC-8D41-823BD37D3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47625</xdr:colOff>
      <xdr:row>0</xdr:row>
      <xdr:rowOff>94537</xdr:rowOff>
    </xdr:from>
    <xdr:to>
      <xdr:col>19</xdr:col>
      <xdr:colOff>116100</xdr:colOff>
      <xdr:row>0</xdr:row>
      <xdr:rowOff>893737</xdr:rowOff>
    </xdr:to>
    <mc:AlternateContent xmlns:mc="http://schemas.openxmlformats.org/markup-compatibility/2006" xmlns:a14="http://schemas.microsoft.com/office/drawing/2010/main">
      <mc:Choice Requires="a14">
        <xdr:graphicFrame macro="">
          <xdr:nvGraphicFramePr>
            <xdr:cNvPr id="2" name="Sort By">
              <a:extLst>
                <a:ext uri="{FF2B5EF4-FFF2-40B4-BE49-F238E27FC236}">
                  <a16:creationId xmlns:a16="http://schemas.microsoft.com/office/drawing/2014/main" xmlns="" id="{B0DF64F4-CD50-4D74-A06A-5269405B014C}"/>
                </a:ext>
              </a:extLst>
            </xdr:cNvPr>
            <xdr:cNvGraphicFramePr/>
          </xdr:nvGraphicFramePr>
          <xdr:xfrm>
            <a:off x="0" y="0"/>
            <a:ext cx="0" cy="0"/>
          </xdr:xfrm>
          <a:graphic>
            <a:graphicData uri="http://schemas.microsoft.com/office/drawing/2010/slicer">
              <sle:slicer xmlns:sle="http://schemas.microsoft.com/office/drawing/2010/slicer" name="Sort By"/>
            </a:graphicData>
          </a:graphic>
        </xdr:graphicFrame>
      </mc:Choice>
      <mc:Fallback xmlns="">
        <xdr:sp macro="" textlink="">
          <xdr:nvSpPr>
            <xdr:cNvPr id="0" name=""/>
            <xdr:cNvSpPr>
              <a:spLocks noTextEdit="1"/>
            </xdr:cNvSpPr>
          </xdr:nvSpPr>
          <xdr:spPr>
            <a:xfrm>
              <a:off x="2895600" y="94537"/>
              <a:ext cx="3888000" cy="7992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0</xdr:row>
      <xdr:rowOff>94537</xdr:rowOff>
    </xdr:from>
    <xdr:to>
      <xdr:col>12</xdr:col>
      <xdr:colOff>10125</xdr:colOff>
      <xdr:row>0</xdr:row>
      <xdr:rowOff>893737</xdr:rowOff>
    </xdr:to>
    <mc:AlternateContent xmlns:mc="http://schemas.openxmlformats.org/markup-compatibility/2006" xmlns:a14="http://schemas.microsoft.com/office/drawing/2010/main">
      <mc:Choice Requires="a14">
        <xdr:graphicFrame macro="">
          <xdr:nvGraphicFramePr>
            <xdr:cNvPr id="3" name="Sort Order">
              <a:extLst>
                <a:ext uri="{FF2B5EF4-FFF2-40B4-BE49-F238E27FC236}">
                  <a16:creationId xmlns:a16="http://schemas.microsoft.com/office/drawing/2014/main" xmlns="" id="{5AC83F0C-5332-4FB6-A6AB-EB4C3555BB3B}"/>
                </a:ext>
              </a:extLst>
            </xdr:cNvPr>
            <xdr:cNvGraphicFramePr/>
          </xdr:nvGraphicFramePr>
          <xdr:xfrm>
            <a:off x="0" y="0"/>
            <a:ext cx="0" cy="0"/>
          </xdr:xfrm>
          <a:graphic>
            <a:graphicData uri="http://schemas.microsoft.com/office/drawing/2010/slicer">
              <sle:slicer xmlns:sle="http://schemas.microsoft.com/office/drawing/2010/slicer" name="Sort Order"/>
            </a:graphicData>
          </a:graphic>
        </xdr:graphicFrame>
      </mc:Choice>
      <mc:Fallback xmlns="">
        <xdr:sp macro="" textlink="">
          <xdr:nvSpPr>
            <xdr:cNvPr id="0" name=""/>
            <xdr:cNvSpPr>
              <a:spLocks noTextEdit="1"/>
            </xdr:cNvSpPr>
          </xdr:nvSpPr>
          <xdr:spPr>
            <a:xfrm>
              <a:off x="1562100" y="94537"/>
              <a:ext cx="1296000" cy="7992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13</xdr:row>
      <xdr:rowOff>76199</xdr:rowOff>
    </xdr:from>
    <xdr:to>
      <xdr:col>9</xdr:col>
      <xdr:colOff>457200</xdr:colOff>
      <xdr:row>16</xdr:row>
      <xdr:rowOff>123824</xdr:rowOff>
    </xdr:to>
    <xdr:sp macro="" textlink="">
      <xdr:nvSpPr>
        <xdr:cNvPr id="3" name="Speech Bubble: Rectangle 2">
          <a:extLst>
            <a:ext uri="{FF2B5EF4-FFF2-40B4-BE49-F238E27FC236}">
              <a16:creationId xmlns:a16="http://schemas.microsoft.com/office/drawing/2014/main" xmlns="" id="{7524F1D3-67D5-4378-9419-2B14E1C22881}"/>
            </a:ext>
          </a:extLst>
        </xdr:cNvPr>
        <xdr:cNvSpPr/>
      </xdr:nvSpPr>
      <xdr:spPr>
        <a:xfrm>
          <a:off x="4791075" y="2552699"/>
          <a:ext cx="2724150" cy="619125"/>
        </a:xfrm>
        <a:prstGeom prst="wedgeRectCallout">
          <a:avLst>
            <a:gd name="adj1" fmla="val -53111"/>
            <a:gd name="adj2" fmla="val -21944"/>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AU" sz="1100"/>
            <a:t>Only numeric fields can be sorted</a:t>
          </a:r>
          <a:r>
            <a:rPr lang="en-AU" sz="1100" baseline="0"/>
            <a:t> without Dynamic Arrays</a:t>
          </a:r>
          <a:r>
            <a:rPr lang="en-AU" sz="1100"/>
            <a:t>, therefore Gender and Family size are not included</a:t>
          </a:r>
          <a:r>
            <a:rPr lang="en-AU" sz="1100" baseline="0"/>
            <a:t> in this Slicer list.</a:t>
          </a:r>
          <a:endParaRPr lang="en-AU" sz="1100"/>
        </a:p>
      </xdr:txBody>
    </xdr:sp>
    <xdr:clientData/>
  </xdr:twoCellAnchor>
</xdr:wsDr>
</file>

<file path=xl/persons/person.xml><?xml version="1.0" encoding="utf-8"?>
<personList xmlns="http://schemas.microsoft.com/office/spreadsheetml/2018/threadedcomments" xmlns:x="http://schemas.openxmlformats.org/spreadsheetml/2006/main">
  <person displayName="Mynda Treacy" id="{44FFCDE3-19EF-4EDC-A189-804EE68CF09F}" userId="Mynda Treacy"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Mynda Treacy" refreshedDate="44679.615806365742" createdVersion="7" refreshedVersion="7" minRefreshableVersion="3" recordCount="2">
  <cacheSource type="worksheet">
    <worksheetSource name="SortOrderTbl"/>
  </cacheSource>
  <cacheFields count="2">
    <cacheField name="Sort Order" numFmtId="0">
      <sharedItems count="2">
        <s v="Ascending"/>
        <s v="Descending"/>
      </sharedItems>
    </cacheField>
    <cacheField name="Value"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1849718009"/>
    </ext>
  </extLst>
</pivotCacheDefinition>
</file>

<file path=xl/pivotCache/pivotCacheDefinition2.xml><?xml version="1.0" encoding="utf-8"?>
<pivotCacheDefinition xmlns="http://schemas.openxmlformats.org/spreadsheetml/2006/main" xmlns:r="http://schemas.openxmlformats.org/officeDocument/2006/relationships" r:id="rId1" refreshedBy="Mynda Treacy" refreshedDate="44679.615806944443" createdVersion="7" refreshedVersion="7" minRefreshableVersion="3" recordCount="8">
  <cacheSource type="worksheet">
    <worksheetSource name="SortByTbl[Sort By]"/>
  </cacheSource>
  <cacheFields count="1">
    <cacheField name="Sort By" numFmtId="0">
      <sharedItems count="9">
        <s v="Student ID"/>
        <s v="Final Score"/>
        <s v="Absences"/>
        <s v="Family Size"/>
        <s v="Travel Time"/>
        <s v="Study Time"/>
        <s v="Health"/>
        <s v="Gender"/>
        <s v="ID" u="1"/>
      </sharedItems>
    </cacheField>
  </cacheFields>
  <extLst>
    <ext xmlns:x14="http://schemas.microsoft.com/office/spreadsheetml/2009/9/main" uri="{725AE2AE-9491-48be-B2B4-4EB974FC3084}">
      <x14:pivotCacheDefinition pivotCacheId="727435084"/>
    </ext>
  </extLst>
</pivotCacheDefinition>
</file>

<file path=xl/pivotCache/pivotCacheDefinition3.xml><?xml version="1.0" encoding="utf-8"?>
<pivotCacheDefinition xmlns="http://schemas.openxmlformats.org/spreadsheetml/2006/main" xmlns:r="http://schemas.openxmlformats.org/officeDocument/2006/relationships" r:id="rId1" refreshedBy="Mynda Treacy" refreshedDate="44680.426489930556" createdVersion="7" refreshedVersion="7" minRefreshableVersion="3" recordCount="6">
  <cacheSource type="worksheet">
    <worksheetSource name="SortByTblNoDA"/>
  </cacheSource>
  <cacheFields count="1">
    <cacheField name="Sort By No DA" numFmtId="0">
      <sharedItems count="6">
        <s v="Student ID"/>
        <s v="Final Score"/>
        <s v="Absences"/>
        <s v="Travel Time"/>
        <s v="Study Time"/>
        <s v="Health"/>
      </sharedItems>
    </cacheField>
  </cacheFields>
  <extLst>
    <ext xmlns:x14="http://schemas.microsoft.com/office/spreadsheetml/2009/9/main" uri="{725AE2AE-9491-48be-B2B4-4EB974FC3084}">
      <x14:pivotCacheDefinition pivotCacheId="358380193"/>
    </ext>
  </extLst>
</pivotCacheDefinition>
</file>

<file path=xl/pivotCache/pivotCacheDefinition4.xml><?xml version="1.0" encoding="utf-8"?>
<pivotCacheDefinition xmlns="http://schemas.openxmlformats.org/spreadsheetml/2006/main" xmlns:r="http://schemas.openxmlformats.org/officeDocument/2006/relationships" r:id="rId1" refreshedBy="Mynda Treacy" refreshedDate="44683.862049074072" createdVersion="8" refreshedVersion="8" minRefreshableVersion="3" recordCount="2">
  <cacheSource type="worksheet">
    <worksheetSource name="SortOrderTblNoDA"/>
  </cacheSource>
  <cacheFields count="2">
    <cacheField name="Sort Order" numFmtId="0">
      <sharedItems count="2">
        <s v="Ascending"/>
        <s v="Descending"/>
      </sharedItems>
    </cacheField>
    <cacheField name="Valu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854662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
  </r>
  <r>
    <x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r>
  <r>
    <x v="1"/>
  </r>
  <r>
    <x v="2"/>
  </r>
  <r>
    <x v="3"/>
  </r>
  <r>
    <x v="4"/>
  </r>
  <r>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
  </r>
  <r>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rowGrandTotals="0" itemPrintTitles="1" createdVersion="7" indent="0" compact="0" outline="1" outlineData="1" compactData="0" multipleFieldFilters="0">
  <location ref="H11:H12" firstHeaderRow="1" firstDataRow="1" firstDataCol="1"/>
  <pivotFields count="1">
    <pivotField axis="axisRow" compact="0" showAll="0">
      <items count="7">
        <item x="2"/>
        <item h="1" x="1"/>
        <item h="1" x="5"/>
        <item h="1" x="0"/>
        <item h="1" x="4"/>
        <item h="1" x="3"/>
        <item t="default"/>
      </items>
      <extLst>
        <ext xmlns:x14="http://schemas.microsoft.com/office/spreadsheetml/2009/9/main" uri="{2946ED86-A175-432a-8AC1-64E0C546D7DE}">
          <x14:pivotField fillDownLabels="1"/>
        </ext>
      </extLst>
    </pivotField>
  </pivotFields>
  <rowFields count="1">
    <field x="0"/>
  </rowFields>
  <rowItems count="1">
    <i>
      <x/>
    </i>
  </rowItems>
  <colItems count="1">
    <i/>
  </colItem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location ref="E23:F24" firstHeaderRow="1" firstDataRow="1" firstDataCol="1"/>
  <pivotFields count="2">
    <pivotField axis="axisRow" compact="0" showAll="0">
      <items count="3">
        <item x="0"/>
        <item h="1" x="1"/>
        <item t="default"/>
      </items>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Sum of Val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rowGrandTotals="0" itemPrintTitles="1" createdVersion="8" indent="0" compact="0" outline="1" outlineData="1" compactData="0" multipleFieldFilters="0">
  <location ref="E29:F30" firstHeaderRow="1" firstDataRow="1" firstDataCol="1"/>
  <pivotFields count="2">
    <pivotField axis="axisRow" compact="0" showAll="0">
      <items count="3">
        <item x="0"/>
        <item h="1" x="1"/>
        <item t="default"/>
      </items>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s>
  <rowFields count="1">
    <field x="0"/>
  </rowFields>
  <rowItems count="1">
    <i>
      <x/>
    </i>
  </rowItems>
  <colItems count="1">
    <i/>
  </colItems>
  <dataFields count="1">
    <dataField name="Sum of Value" fld="1"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location ref="D11:D12" firstHeaderRow="1" firstDataRow="1" firstDataCol="1"/>
  <pivotFields count="1">
    <pivotField axis="axisRow" compact="0" showAll="0">
      <items count="10">
        <item h="1" x="2"/>
        <item h="1" x="3"/>
        <item h="1" x="1"/>
        <item x="6"/>
        <item h="1" m="1" x="8"/>
        <item h="1" x="5"/>
        <item h="1" x="4"/>
        <item h="1" x="7"/>
        <item h="1" x="0"/>
        <item t="default"/>
      </items>
      <extLst>
        <ext xmlns:x14="http://schemas.microsoft.com/office/spreadsheetml/2009/9/main" uri="{2946ED86-A175-432a-8AC1-64E0C546D7DE}">
          <x14:pivotField fillDownLabels="1"/>
        </ext>
      </extLst>
    </pivotField>
  </pivotFields>
  <rowFields count="1">
    <field x="0"/>
  </rowFields>
  <rowItems count="1">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ort_By" sourceName="Sort By">
  <pivotTables>
    <pivotTable tabId="3" name="PivotTable10"/>
  </pivotTables>
  <data>
    <tabular pivotCacheId="727435084">
      <items count="9">
        <i x="2"/>
        <i x="3"/>
        <i x="1"/>
        <i x="7"/>
        <i x="6" s="1"/>
        <i x="0"/>
        <i x="5"/>
        <i x="4"/>
        <i x="8"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ort_Order" sourceName="Sort Order">
  <pivotTables>
    <pivotTable tabId="3" name="PivotTable11"/>
  </pivotTables>
  <data>
    <tabular pivotCacheId="184971800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ort By" cache="Slicer_Sort_By" caption="Sort By" columnCount="4" style="SlicerStyleLight5" rowHeight="180000"/>
  <slicer name="Sort Order" cache="Slicer_Sort_Order" caption="Sort Order" style="SlicerStyleLight5" rowHeight="180000"/>
</slicers>
</file>

<file path=xl/tables/table1.xml><?xml version="1.0" encoding="utf-8"?>
<table xmlns="http://schemas.openxmlformats.org/spreadsheetml/2006/main" id="1" name="StudentData" displayName="StudentData" ref="U3:AF33" totalsRowShown="0" dataDxfId="12">
  <autoFilter ref="U3:AF33"/>
  <tableColumns count="12">
    <tableColumn id="1" name="Student ID" dataDxfId="11"/>
    <tableColumn id="3" name="gender" dataDxfId="10"/>
    <tableColumn id="6" name="Family Size" dataDxfId="9"/>
    <tableColumn id="14" name="travel time" dataDxfId="8"/>
    <tableColumn id="15" name="study time" dataDxfId="7"/>
    <tableColumn id="16" name="failures" dataDxfId="6"/>
    <tableColumn id="30" name="health" dataDxfId="5"/>
    <tableColumn id="31" name="absences" dataDxfId="4"/>
    <tableColumn id="32" name="1st Score" dataDxfId="3"/>
    <tableColumn id="33" name="2nd Score" dataDxfId="2"/>
    <tableColumn id="34" name="Final Score" dataDxfId="1"/>
    <tableColumn id="35" name="Final Grade" dataDxfId="0">
      <calculatedColumnFormula>_xlfn.XLOOKUP(StudentData[[#This Row],[Final Score]],GradeTbl[Score],GradeTbl[Grade],,1)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GradeTbl" displayName="GradeTbl" ref="B2:C7" totalsRowShown="0">
  <autoFilter ref="B2:C7"/>
  <tableColumns count="2">
    <tableColumn id="1" name="Grade"/>
    <tableColumn id="2" name="Score"/>
  </tableColumns>
  <tableStyleInfo name="TableStyleMedium2" showFirstColumn="0" showLastColumn="0" showRowStripes="1" showColumnStripes="0"/>
</table>
</file>

<file path=xl/tables/table3.xml><?xml version="1.0" encoding="utf-8"?>
<table xmlns="http://schemas.openxmlformats.org/spreadsheetml/2006/main" id="3" name="SortByTbl" displayName="SortByTbl" ref="B11:B19" totalsRowShown="0">
  <autoFilter ref="B11:B19"/>
  <tableColumns count="1">
    <tableColumn id="1" name="Sort By"/>
  </tableColumns>
  <tableStyleInfo name="TableStyleMedium2" showFirstColumn="0" showLastColumn="0" showRowStripes="1" showColumnStripes="0"/>
</table>
</file>

<file path=xl/tables/table4.xml><?xml version="1.0" encoding="utf-8"?>
<table xmlns="http://schemas.openxmlformats.org/spreadsheetml/2006/main" id="4" name="SortOrderTbl" displayName="SortOrderTbl" ref="B23:C25" totalsRowShown="0">
  <autoFilter ref="B23:C25"/>
  <tableColumns count="2">
    <tableColumn id="1" name="Sort Order"/>
    <tableColumn id="2" name="Value"/>
  </tableColumns>
  <tableStyleInfo name="TableStyleMedium2" showFirstColumn="0" showLastColumn="0" showRowStripes="1" showColumnStripes="0"/>
</table>
</file>

<file path=xl/tables/table5.xml><?xml version="1.0" encoding="utf-8"?>
<table xmlns="http://schemas.openxmlformats.org/spreadsheetml/2006/main" id="6" name="SortByTblNoDA" displayName="SortByTblNoDA" ref="F11:F17" totalsRowShown="0">
  <autoFilter ref="F11:F17"/>
  <tableColumns count="1">
    <tableColumn id="1" name="Sort By No DA"/>
  </tableColumns>
  <tableStyleInfo name="TableStyleMedium7" showFirstColumn="0" showLastColumn="0" showRowStripes="1" showColumnStripes="0"/>
</table>
</file>

<file path=xl/tables/table6.xml><?xml version="1.0" encoding="utf-8"?>
<table xmlns="http://schemas.openxmlformats.org/spreadsheetml/2006/main" id="7" name="SortOrderTblNoDA" displayName="SortOrderTblNoDA" ref="B29:C31" totalsRowShown="0">
  <autoFilter ref="B29:C31"/>
  <tableColumns count="2">
    <tableColumn id="1" name="Sort Order"/>
    <tableColumn id="2" name="Valu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11" Type="http://schemas.openxmlformats.org/officeDocument/2006/relationships/table" Target="../tables/table6.xml"/><Relationship Id="rId5" Type="http://schemas.openxmlformats.org/officeDocument/2006/relationships/printerSettings" Target="../printerSettings/printerSettings2.bin"/><Relationship Id="rId10"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35"/>
  <sheetViews>
    <sheetView showGridLines="0" tabSelected="1" topLeftCell="A3" workbookViewId="0">
      <selection activeCell="W4" sqref="W4"/>
    </sheetView>
  </sheetViews>
  <sheetFormatPr defaultRowHeight="15" x14ac:dyDescent="0.25"/>
  <cols>
    <col min="1" max="1" width="2.140625" customWidth="1"/>
    <col min="2" max="2" width="3" bestFit="1" customWidth="1"/>
    <col min="3" max="3" width="7.5703125" bestFit="1" customWidth="1"/>
    <col min="4" max="4" width="1.28515625" customWidth="1"/>
    <col min="5" max="5" width="2.28515625" bestFit="1" customWidth="1"/>
    <col min="6" max="10" width="2.28515625" customWidth="1"/>
    <col min="11" max="11" width="3" bestFit="1" customWidth="1"/>
    <col min="12" max="12" width="12" bestFit="1" customWidth="1"/>
    <col min="13" max="13" width="1" customWidth="1"/>
    <col min="14" max="14" width="7.7109375" customWidth="1"/>
    <col min="15" max="15" width="12.28515625" customWidth="1"/>
    <col min="16" max="16" width="7.28515625" bestFit="1" customWidth="1"/>
    <col min="17" max="17" width="8.140625" customWidth="1"/>
    <col min="18" max="18" width="6.85546875" bestFit="1" customWidth="1"/>
    <col min="19" max="19" width="14" bestFit="1" customWidth="1"/>
    <col min="20" max="20" width="5.28515625" customWidth="1"/>
    <col min="21" max="21" width="13.85546875" bestFit="1" customWidth="1"/>
    <col min="22" max="22" width="9.5703125" bestFit="1" customWidth="1"/>
    <col min="23" max="23" width="13.140625" bestFit="1" customWidth="1"/>
    <col min="24" max="24" width="12.42578125" customWidth="1"/>
    <col min="25" max="25" width="12.140625" customWidth="1"/>
    <col min="26" max="26" width="9.85546875" customWidth="1"/>
    <col min="28" max="28" width="11.28515625" customWidth="1"/>
    <col min="29" max="29" width="11.140625" bestFit="1" customWidth="1"/>
    <col min="30" max="30" width="11.85546875" bestFit="1" customWidth="1"/>
    <col min="31" max="31" width="12.85546875" bestFit="1" customWidth="1"/>
    <col min="32" max="32" width="13.42578125" bestFit="1" customWidth="1"/>
    <col min="33" max="33" width="2.85546875" customWidth="1"/>
  </cols>
  <sheetData>
    <row r="1" spans="2:32" ht="71.25" customHeight="1" x14ac:dyDescent="0.25">
      <c r="U1" s="47" t="s">
        <v>54</v>
      </c>
      <c r="V1" s="46"/>
      <c r="W1" s="46"/>
      <c r="X1" s="46"/>
      <c r="Y1" s="46"/>
      <c r="Z1" s="46"/>
      <c r="AA1" s="46"/>
      <c r="AB1" s="46"/>
      <c r="AC1" s="46"/>
      <c r="AD1" s="46"/>
      <c r="AE1" s="46"/>
      <c r="AF1" s="46"/>
    </row>
    <row r="2" spans="2:32" x14ac:dyDescent="0.25">
      <c r="E2" s="30" t="s">
        <v>15</v>
      </c>
      <c r="F2" s="31"/>
      <c r="G2" s="31"/>
      <c r="H2" s="31"/>
      <c r="I2" s="31"/>
      <c r="J2" s="31"/>
      <c r="K2" s="31"/>
      <c r="L2" s="32"/>
      <c r="O2" s="1" t="s">
        <v>41</v>
      </c>
      <c r="P2" s="1" t="s">
        <v>47</v>
      </c>
      <c r="Q2" s="1" t="s">
        <v>43</v>
      </c>
      <c r="R2" s="1" t="s">
        <v>44</v>
      </c>
    </row>
    <row r="3" spans="2:32" x14ac:dyDescent="0.25">
      <c r="B3" s="4" t="s">
        <v>7</v>
      </c>
      <c r="C3" s="4" t="s">
        <v>9</v>
      </c>
      <c r="E3" s="33"/>
      <c r="F3" s="6" t="s">
        <v>3</v>
      </c>
      <c r="G3" s="6" t="s">
        <v>12</v>
      </c>
      <c r="H3" s="6" t="s">
        <v>11</v>
      </c>
      <c r="I3" s="6" t="s">
        <v>10</v>
      </c>
      <c r="J3" s="6" t="s">
        <v>4</v>
      </c>
      <c r="K3" s="3"/>
      <c r="L3" s="34" t="s">
        <v>14</v>
      </c>
      <c r="N3" s="4" t="s">
        <v>31</v>
      </c>
      <c r="O3" s="4" t="s">
        <v>42</v>
      </c>
      <c r="P3" s="4" t="s">
        <v>48</v>
      </c>
      <c r="Q3" s="4" t="s">
        <v>42</v>
      </c>
      <c r="R3" s="4" t="s">
        <v>45</v>
      </c>
      <c r="S3" s="4" t="s">
        <v>26</v>
      </c>
      <c r="T3" s="1"/>
      <c r="U3" t="s">
        <v>28</v>
      </c>
      <c r="V3" t="s">
        <v>6</v>
      </c>
      <c r="W3" t="s">
        <v>21</v>
      </c>
      <c r="X3" t="s">
        <v>24</v>
      </c>
      <c r="Y3" t="s">
        <v>25</v>
      </c>
      <c r="Z3" t="s">
        <v>0</v>
      </c>
      <c r="AA3" t="s">
        <v>1</v>
      </c>
      <c r="AB3" t="s">
        <v>2</v>
      </c>
      <c r="AC3" t="s">
        <v>18</v>
      </c>
      <c r="AD3" t="s">
        <v>19</v>
      </c>
      <c r="AE3" t="s">
        <v>17</v>
      </c>
      <c r="AF3" t="s">
        <v>27</v>
      </c>
    </row>
    <row r="4" spans="2:32" ht="16.5" customHeight="1" x14ac:dyDescent="0.25">
      <c r="B4" s="8" cm="1">
        <f t="array" ref="B4:B33">_xlfn.SORTBY(StudentData[Student ID],INDEX(StudentData[],,MATCH(Workings!$D$12,StudentData[#Headers],0)),Workings!$F$24)</f>
        <v>7</v>
      </c>
      <c r="C4" s="8" t="str" cm="1">
        <f t="array" ref="C4:C33">INDEX(StudentData[gender],MATCH(_xlfn.ANCHORARRAY(B4),StudentData[Student ID],0))</f>
        <v>F</v>
      </c>
      <c r="D4" s="8"/>
      <c r="E4" s="35" t="str" cm="1">
        <f t="array" ref="E4:E33">INDEX(StudentData[Final Grade],MATCH(_xlfn.ANCHORARRAY(B4),StudentData[Student ID],0))</f>
        <v>F</v>
      </c>
      <c r="F4" s="9" t="str" cm="1">
        <f t="array" ref="F4:F33">IF(_xlfn.ANCHORARRAY($E4)=F$3,"l","")</f>
        <v>l</v>
      </c>
      <c r="G4" s="10" t="str" cm="1">
        <f t="array" ref="G4:G33">IF(_xlfn.ANCHORARRAY($E4)=G$3,"l","")</f>
        <v/>
      </c>
      <c r="H4" s="11" t="str" cm="1">
        <f t="array" ref="H4:H33">IF(_xlfn.ANCHORARRAY($E4)=H$3,"l","")</f>
        <v/>
      </c>
      <c r="I4" s="12" t="str" cm="1">
        <f t="array" ref="I4:I33">IF(_xlfn.ANCHORARRAY($E4)=I$3,"l","")</f>
        <v/>
      </c>
      <c r="J4" s="13" t="str" cm="1">
        <f t="array" ref="J4:J33">IF(_xlfn.ANCHORARRAY($E4)=J$3,"l","")</f>
        <v/>
      </c>
      <c r="K4" s="14" cm="1">
        <f t="array" ref="K4:K33">INDEX(StudentData[Final Score],MATCH(_xlfn.ANCHORARRAY(B4),StudentData[Student ID],0))</f>
        <v>6</v>
      </c>
      <c r="L4" s="36"/>
      <c r="M4" s="15"/>
      <c r="N4" s="16" cm="1">
        <f t="array" ref="N4:N33">INDEX(StudentData[failures],MATCH(_xlfn.ANCHORARRAY(B4),StudentData[Student ID],0))</f>
        <v>0</v>
      </c>
      <c r="O4" s="17" t="str" cm="1">
        <f t="array" ref="O4:O33">REPT("---",INDEX(StudentData[study time],MATCH(_xlfn.ANCHORARRAY(B4),StudentData[Student ID],0)))&amp;"I"</f>
        <v>------I</v>
      </c>
      <c r="P4" s="18" cm="1">
        <f t="array" ref="P4:P33">INDEX(StudentData[absences],MATCH(_xlfn.ANCHORARRAY(B4),StudentData[Student ID],0))</f>
        <v>6</v>
      </c>
      <c r="Q4" s="18" cm="1">
        <f t="array" ref="Q4:Q33">INDEX(StudentData[travel time],MATCH(_xlfn.ANCHORARRAY(B4),StudentData[Student ID],0))</f>
        <v>2</v>
      </c>
      <c r="R4" s="18" t="str" cm="1">
        <f t="array" ref="R4:R33">INDEX(StudentData[Family Size],MATCH(_xlfn.ANCHORARRAY(B4),StudentData[Student ID],0))</f>
        <v>3 +</v>
      </c>
      <c r="S4" s="39" t="str" cm="1">
        <f t="array" ref="S4:S33">REPT("🤍",INDEX(StudentData[health],MATCH(_xlfn.ANCHORARRAY(B4),StudentData[Student ID],0)))</f>
        <v>🤍</v>
      </c>
      <c r="T4" s="7"/>
      <c r="U4" s="1">
        <v>1</v>
      </c>
      <c r="V4" s="1" t="s">
        <v>3</v>
      </c>
      <c r="W4" s="1" t="s">
        <v>30</v>
      </c>
      <c r="X4" s="1">
        <v>1</v>
      </c>
      <c r="Y4" s="1">
        <v>2</v>
      </c>
      <c r="Z4" s="1">
        <v>0</v>
      </c>
      <c r="AA4" s="1">
        <v>3</v>
      </c>
      <c r="AB4" s="1">
        <v>4</v>
      </c>
      <c r="AC4" s="1">
        <v>5</v>
      </c>
      <c r="AD4" s="1">
        <v>5</v>
      </c>
      <c r="AE4" s="1">
        <v>6</v>
      </c>
      <c r="AF4" s="1" t="str">
        <f>_xlfn.XLOOKUP(StudentData[[#This Row],[Final Score]],GradeTbl[Score],GradeTbl[Grade],,1)</f>
        <v>F</v>
      </c>
    </row>
    <row r="5" spans="2:32" ht="16.5" customHeight="1" x14ac:dyDescent="0.25">
      <c r="B5" s="19">
        <v>8</v>
      </c>
      <c r="C5" s="19" t="str">
        <v>M</v>
      </c>
      <c r="D5" s="19"/>
      <c r="E5" s="37" t="str">
        <v>A</v>
      </c>
      <c r="F5" s="20" t="str">
        <v/>
      </c>
      <c r="G5" s="21" t="str">
        <v/>
      </c>
      <c r="H5" s="22" t="str">
        <v/>
      </c>
      <c r="I5" s="23" t="str">
        <v/>
      </c>
      <c r="J5" s="24" t="str">
        <v>l</v>
      </c>
      <c r="K5" s="25">
        <v>16</v>
      </c>
      <c r="L5" s="38"/>
      <c r="M5" s="26"/>
      <c r="N5" s="27">
        <v>0</v>
      </c>
      <c r="O5" s="28" t="str">
        <v>------I</v>
      </c>
      <c r="P5" s="29">
        <v>0</v>
      </c>
      <c r="Q5" s="29">
        <v>1</v>
      </c>
      <c r="R5" s="29" t="str">
        <v>&lt; 3</v>
      </c>
      <c r="S5" s="40" t="str">
        <v>🤍</v>
      </c>
      <c r="T5" s="7"/>
      <c r="U5" s="1">
        <v>2</v>
      </c>
      <c r="V5" s="1" t="s">
        <v>3</v>
      </c>
      <c r="W5" s="1" t="s">
        <v>29</v>
      </c>
      <c r="X5" s="1">
        <v>1</v>
      </c>
      <c r="Y5" s="1">
        <v>2</v>
      </c>
      <c r="Z5" s="1">
        <v>3</v>
      </c>
      <c r="AA5" s="1">
        <v>3</v>
      </c>
      <c r="AB5" s="1">
        <v>10</v>
      </c>
      <c r="AC5" s="1">
        <v>7</v>
      </c>
      <c r="AD5" s="1">
        <v>8</v>
      </c>
      <c r="AE5" s="1">
        <v>10</v>
      </c>
      <c r="AF5" s="1" t="str">
        <f>_xlfn.XLOOKUP(StudentData[[#This Row],[Final Score]],GradeTbl[Score],GradeTbl[Grade],,1)</f>
        <v>D</v>
      </c>
    </row>
    <row r="6" spans="2:32" ht="16.5" customHeight="1" x14ac:dyDescent="0.25">
      <c r="B6" s="19">
        <v>20</v>
      </c>
      <c r="C6" s="19" t="str">
        <v>M</v>
      </c>
      <c r="D6" s="19"/>
      <c r="E6" s="37" t="str">
        <v>A</v>
      </c>
      <c r="F6" s="20" t="str">
        <v/>
      </c>
      <c r="G6" s="21" t="str">
        <v/>
      </c>
      <c r="H6" s="22" t="str">
        <v/>
      </c>
      <c r="I6" s="23" t="str">
        <v/>
      </c>
      <c r="J6" s="24" t="str">
        <v>l</v>
      </c>
      <c r="K6" s="25">
        <v>15</v>
      </c>
      <c r="L6" s="38"/>
      <c r="M6" s="26"/>
      <c r="N6" s="27">
        <v>0</v>
      </c>
      <c r="O6" s="28" t="str">
        <v>------I</v>
      </c>
      <c r="P6" s="29">
        <v>0</v>
      </c>
      <c r="Q6" s="29">
        <v>1</v>
      </c>
      <c r="R6" s="29" t="str">
        <v>3 +</v>
      </c>
      <c r="S6" s="40" t="str">
        <v>🤍</v>
      </c>
      <c r="T6" s="7"/>
      <c r="U6" s="1">
        <v>3</v>
      </c>
      <c r="V6" s="1" t="s">
        <v>3</v>
      </c>
      <c r="W6" s="1" t="s">
        <v>30</v>
      </c>
      <c r="X6" s="1">
        <v>1</v>
      </c>
      <c r="Y6" s="1">
        <v>3</v>
      </c>
      <c r="Z6" s="1">
        <v>0</v>
      </c>
      <c r="AA6" s="1">
        <v>5</v>
      </c>
      <c r="AB6" s="1">
        <v>2</v>
      </c>
      <c r="AC6" s="1">
        <v>15</v>
      </c>
      <c r="AD6" s="1">
        <v>14</v>
      </c>
      <c r="AE6" s="1">
        <v>15</v>
      </c>
      <c r="AF6" s="1" t="str">
        <f>_xlfn.XLOOKUP(StudentData[[#This Row],[Final Score]],GradeTbl[Score],GradeTbl[Grade],,1)</f>
        <v>A</v>
      </c>
    </row>
    <row r="7" spans="2:32" ht="16.5" customHeight="1" x14ac:dyDescent="0.25">
      <c r="B7" s="19">
        <v>27</v>
      </c>
      <c r="C7" s="19" t="str">
        <v>M</v>
      </c>
      <c r="D7" s="19"/>
      <c r="E7" s="37" t="str">
        <v>A</v>
      </c>
      <c r="F7" s="20" t="str">
        <v/>
      </c>
      <c r="G7" s="21" t="str">
        <v/>
      </c>
      <c r="H7" s="22" t="str">
        <v/>
      </c>
      <c r="I7" s="23" t="str">
        <v/>
      </c>
      <c r="J7" s="24" t="str">
        <v>l</v>
      </c>
      <c r="K7" s="25">
        <v>15</v>
      </c>
      <c r="L7" s="38"/>
      <c r="M7" s="26"/>
      <c r="N7" s="27">
        <v>0</v>
      </c>
      <c r="O7" s="28" t="str">
        <v>---I</v>
      </c>
      <c r="P7" s="29">
        <v>4</v>
      </c>
      <c r="Q7" s="29">
        <v>1</v>
      </c>
      <c r="R7" s="29" t="str">
        <v>3 +</v>
      </c>
      <c r="S7" s="40" t="str">
        <v>🤍</v>
      </c>
      <c r="T7" s="7"/>
      <c r="U7" s="1">
        <v>4</v>
      </c>
      <c r="V7" s="1" t="s">
        <v>3</v>
      </c>
      <c r="W7" s="1" t="s">
        <v>30</v>
      </c>
      <c r="X7" s="1">
        <v>1</v>
      </c>
      <c r="Y7" s="1">
        <v>2</v>
      </c>
      <c r="Z7" s="1">
        <v>0</v>
      </c>
      <c r="AA7" s="1">
        <v>5</v>
      </c>
      <c r="AB7" s="1">
        <v>4</v>
      </c>
      <c r="AC7" s="1">
        <v>6</v>
      </c>
      <c r="AD7" s="1">
        <v>10</v>
      </c>
      <c r="AE7" s="1">
        <v>10</v>
      </c>
      <c r="AF7" s="1" t="str">
        <f>_xlfn.XLOOKUP(StudentData[[#This Row],[Final Score]],GradeTbl[Score],GradeTbl[Grade],,1)</f>
        <v>D</v>
      </c>
    </row>
    <row r="8" spans="2:32" ht="16.5" customHeight="1" x14ac:dyDescent="0.25">
      <c r="B8" s="19">
        <v>10</v>
      </c>
      <c r="C8" s="19" t="str">
        <v>F</v>
      </c>
      <c r="D8" s="19"/>
      <c r="E8" s="37" t="str">
        <v>D</v>
      </c>
      <c r="F8" s="20" t="str">
        <v/>
      </c>
      <c r="G8" s="21" t="str">
        <v>l</v>
      </c>
      <c r="H8" s="22" t="str">
        <v/>
      </c>
      <c r="I8" s="23" t="str">
        <v/>
      </c>
      <c r="J8" s="24" t="str">
        <v/>
      </c>
      <c r="K8" s="25">
        <v>9</v>
      </c>
      <c r="L8" s="38"/>
      <c r="M8" s="26"/>
      <c r="N8" s="27">
        <v>0</v>
      </c>
      <c r="O8" s="28" t="str">
        <v>------I</v>
      </c>
      <c r="P8" s="29">
        <v>0</v>
      </c>
      <c r="Q8" s="29">
        <v>1</v>
      </c>
      <c r="R8" s="29" t="str">
        <v>3 +</v>
      </c>
      <c r="S8" s="40" t="str">
        <v>🤍🤍</v>
      </c>
      <c r="T8" s="7"/>
      <c r="U8" s="1">
        <v>5</v>
      </c>
      <c r="V8" s="1" t="s">
        <v>5</v>
      </c>
      <c r="W8" s="1" t="s">
        <v>29</v>
      </c>
      <c r="X8" s="1">
        <v>1</v>
      </c>
      <c r="Y8" s="1">
        <v>2</v>
      </c>
      <c r="Z8" s="1">
        <v>0</v>
      </c>
      <c r="AA8" s="1">
        <v>5</v>
      </c>
      <c r="AB8" s="1">
        <v>10</v>
      </c>
      <c r="AC8" s="1">
        <v>15</v>
      </c>
      <c r="AD8" s="1">
        <v>15</v>
      </c>
      <c r="AE8" s="1">
        <v>15</v>
      </c>
      <c r="AF8" s="1" t="str">
        <f>_xlfn.XLOOKUP(StudentData[[#This Row],[Final Score]],GradeTbl[Score],GradeTbl[Grade],,1)</f>
        <v>A</v>
      </c>
    </row>
    <row r="9" spans="2:32" ht="16.5" customHeight="1" x14ac:dyDescent="0.25">
      <c r="B9" s="19">
        <v>15</v>
      </c>
      <c r="C9" s="19" t="str">
        <v>F</v>
      </c>
      <c r="D9" s="19"/>
      <c r="E9" s="37" t="str">
        <v>B</v>
      </c>
      <c r="F9" s="20" t="str">
        <v/>
      </c>
      <c r="G9" s="21" t="str">
        <v/>
      </c>
      <c r="H9" s="22" t="str">
        <v/>
      </c>
      <c r="I9" s="23" t="str">
        <v>l</v>
      </c>
      <c r="J9" s="24" t="str">
        <v/>
      </c>
      <c r="K9" s="25">
        <v>14</v>
      </c>
      <c r="L9" s="38"/>
      <c r="M9" s="26"/>
      <c r="N9" s="27">
        <v>0</v>
      </c>
      <c r="O9" s="28" t="str">
        <v>---I</v>
      </c>
      <c r="P9" s="29">
        <v>4</v>
      </c>
      <c r="Q9" s="29">
        <v>1</v>
      </c>
      <c r="R9" s="29" t="str">
        <v>3 +</v>
      </c>
      <c r="S9" s="40" t="str">
        <v>🤍🤍</v>
      </c>
      <c r="T9" s="7"/>
      <c r="U9" s="1">
        <v>6</v>
      </c>
      <c r="V9" s="1" t="s">
        <v>5</v>
      </c>
      <c r="W9" s="1" t="s">
        <v>29</v>
      </c>
      <c r="X9" s="1">
        <v>1</v>
      </c>
      <c r="Y9" s="1">
        <v>2</v>
      </c>
      <c r="Z9" s="1">
        <v>0</v>
      </c>
      <c r="AA9" s="1">
        <v>3</v>
      </c>
      <c r="AB9" s="1">
        <v>0</v>
      </c>
      <c r="AC9" s="1">
        <v>12</v>
      </c>
      <c r="AD9" s="1">
        <v>12</v>
      </c>
      <c r="AE9" s="1">
        <v>11</v>
      </c>
      <c r="AF9" s="1" t="str">
        <f>_xlfn.XLOOKUP(StudentData[[#This Row],[Final Score]],GradeTbl[Score],GradeTbl[Grade],,1)</f>
        <v>C</v>
      </c>
    </row>
    <row r="10" spans="2:32" ht="16.5" customHeight="1" x14ac:dyDescent="0.25">
      <c r="B10" s="19">
        <v>16</v>
      </c>
      <c r="C10" s="19" t="str">
        <v>F</v>
      </c>
      <c r="D10" s="19"/>
      <c r="E10" s="37" t="str">
        <v>B</v>
      </c>
      <c r="F10" s="20" t="str">
        <v/>
      </c>
      <c r="G10" s="21" t="str">
        <v/>
      </c>
      <c r="H10" s="22" t="str">
        <v/>
      </c>
      <c r="I10" s="23" t="str">
        <v>l</v>
      </c>
      <c r="J10" s="24" t="str">
        <v/>
      </c>
      <c r="K10" s="25">
        <v>14</v>
      </c>
      <c r="L10" s="38"/>
      <c r="M10" s="26"/>
      <c r="N10" s="27">
        <v>0</v>
      </c>
      <c r="O10" s="28" t="str">
        <v>---------I</v>
      </c>
      <c r="P10" s="29">
        <v>6</v>
      </c>
      <c r="Q10" s="29">
        <v>1</v>
      </c>
      <c r="R10" s="29" t="str">
        <v>3 +</v>
      </c>
      <c r="S10" s="40" t="str">
        <v>🤍🤍</v>
      </c>
      <c r="T10" s="7"/>
      <c r="U10" s="1">
        <v>7</v>
      </c>
      <c r="V10" s="1" t="s">
        <v>3</v>
      </c>
      <c r="W10" s="1" t="s">
        <v>30</v>
      </c>
      <c r="X10" s="1">
        <v>2</v>
      </c>
      <c r="Y10" s="1">
        <v>2</v>
      </c>
      <c r="Z10" s="1">
        <v>0</v>
      </c>
      <c r="AA10" s="1">
        <v>1</v>
      </c>
      <c r="AB10" s="1">
        <v>6</v>
      </c>
      <c r="AC10" s="1">
        <v>6</v>
      </c>
      <c r="AD10" s="1">
        <v>5</v>
      </c>
      <c r="AE10" s="1">
        <v>6</v>
      </c>
      <c r="AF10" s="1" t="str">
        <f>_xlfn.XLOOKUP(StudentData[[#This Row],[Final Score]],GradeTbl[Score],GradeTbl[Grade],,1)</f>
        <v>F</v>
      </c>
    </row>
    <row r="11" spans="2:32" ht="16.5" customHeight="1" x14ac:dyDescent="0.25">
      <c r="B11" s="19">
        <v>1</v>
      </c>
      <c r="C11" s="19" t="str">
        <v>F</v>
      </c>
      <c r="D11" s="19"/>
      <c r="E11" s="37" t="str">
        <v>F</v>
      </c>
      <c r="F11" s="20" t="str">
        <v>l</v>
      </c>
      <c r="G11" s="21" t="str">
        <v/>
      </c>
      <c r="H11" s="22" t="str">
        <v/>
      </c>
      <c r="I11" s="23" t="str">
        <v/>
      </c>
      <c r="J11" s="24" t="str">
        <v/>
      </c>
      <c r="K11" s="25">
        <v>6</v>
      </c>
      <c r="L11" s="38"/>
      <c r="M11" s="26"/>
      <c r="N11" s="27">
        <v>0</v>
      </c>
      <c r="O11" s="28" t="str">
        <v>------I</v>
      </c>
      <c r="P11" s="29">
        <v>4</v>
      </c>
      <c r="Q11" s="29">
        <v>1</v>
      </c>
      <c r="R11" s="29" t="str">
        <v>3 +</v>
      </c>
      <c r="S11" s="40" t="str">
        <v>🤍🤍🤍</v>
      </c>
      <c r="T11" s="7"/>
      <c r="U11" s="1">
        <v>8</v>
      </c>
      <c r="V11" s="1" t="s">
        <v>5</v>
      </c>
      <c r="W11" s="1" t="s">
        <v>29</v>
      </c>
      <c r="X11" s="1">
        <v>1</v>
      </c>
      <c r="Y11" s="1">
        <v>2</v>
      </c>
      <c r="Z11" s="1">
        <v>0</v>
      </c>
      <c r="AA11" s="1">
        <v>1</v>
      </c>
      <c r="AB11" s="1">
        <v>0</v>
      </c>
      <c r="AC11" s="1">
        <v>14</v>
      </c>
      <c r="AD11" s="1">
        <v>16</v>
      </c>
      <c r="AE11" s="1">
        <v>16</v>
      </c>
      <c r="AF11" s="1" t="str">
        <f>_xlfn.XLOOKUP(StudentData[[#This Row],[Final Score]],GradeTbl[Score],GradeTbl[Grade],,1)</f>
        <v>A</v>
      </c>
    </row>
    <row r="12" spans="2:32" ht="16.5" customHeight="1" x14ac:dyDescent="0.25">
      <c r="B12" s="19">
        <v>2</v>
      </c>
      <c r="C12" s="19" t="str">
        <v>F</v>
      </c>
      <c r="D12" s="19"/>
      <c r="E12" s="37" t="str">
        <v>D</v>
      </c>
      <c r="F12" s="20" t="str">
        <v/>
      </c>
      <c r="G12" s="21" t="str">
        <v>l</v>
      </c>
      <c r="H12" s="22" t="str">
        <v/>
      </c>
      <c r="I12" s="23" t="str">
        <v/>
      </c>
      <c r="J12" s="24" t="str">
        <v/>
      </c>
      <c r="K12" s="25">
        <v>10</v>
      </c>
      <c r="L12" s="38"/>
      <c r="M12" s="26"/>
      <c r="N12" s="27">
        <v>3</v>
      </c>
      <c r="O12" s="28" t="str">
        <v>------I</v>
      </c>
      <c r="P12" s="29">
        <v>10</v>
      </c>
      <c r="Q12" s="29">
        <v>1</v>
      </c>
      <c r="R12" s="29" t="str">
        <v>&lt; 3</v>
      </c>
      <c r="S12" s="40" t="str">
        <v>🤍🤍🤍</v>
      </c>
      <c r="T12" s="7"/>
      <c r="U12" s="1">
        <v>9</v>
      </c>
      <c r="V12" s="1" t="s">
        <v>5</v>
      </c>
      <c r="W12" s="1" t="s">
        <v>30</v>
      </c>
      <c r="X12" s="1">
        <v>1</v>
      </c>
      <c r="Y12" s="1">
        <v>2</v>
      </c>
      <c r="Z12" s="1">
        <v>0</v>
      </c>
      <c r="AA12" s="1">
        <v>5</v>
      </c>
      <c r="AB12" s="1">
        <v>0</v>
      </c>
      <c r="AC12" s="1">
        <v>14</v>
      </c>
      <c r="AD12" s="1">
        <v>15</v>
      </c>
      <c r="AE12" s="1">
        <v>15</v>
      </c>
      <c r="AF12" s="1" t="str">
        <f>_xlfn.XLOOKUP(StudentData[[#This Row],[Final Score]],GradeTbl[Score],GradeTbl[Grade],,1)</f>
        <v>A</v>
      </c>
    </row>
    <row r="13" spans="2:32" ht="16.5" customHeight="1" x14ac:dyDescent="0.25">
      <c r="B13" s="19">
        <v>6</v>
      </c>
      <c r="C13" s="19" t="str">
        <v>M</v>
      </c>
      <c r="D13" s="19"/>
      <c r="E13" s="37" t="str">
        <v>C</v>
      </c>
      <c r="F13" s="20" t="str">
        <v/>
      </c>
      <c r="G13" s="21" t="str">
        <v/>
      </c>
      <c r="H13" s="22" t="str">
        <v>l</v>
      </c>
      <c r="I13" s="23" t="str">
        <v/>
      </c>
      <c r="J13" s="24" t="str">
        <v/>
      </c>
      <c r="K13" s="25">
        <v>11</v>
      </c>
      <c r="L13" s="38"/>
      <c r="M13" s="26"/>
      <c r="N13" s="27">
        <v>0</v>
      </c>
      <c r="O13" s="28" t="str">
        <v>------I</v>
      </c>
      <c r="P13" s="29">
        <v>0</v>
      </c>
      <c r="Q13" s="29">
        <v>1</v>
      </c>
      <c r="R13" s="29" t="str">
        <v>&lt; 3</v>
      </c>
      <c r="S13" s="40" t="str">
        <v>🤍🤍🤍</v>
      </c>
      <c r="T13" s="7"/>
      <c r="U13" s="1">
        <v>10</v>
      </c>
      <c r="V13" s="1" t="s">
        <v>3</v>
      </c>
      <c r="W13" s="1" t="s">
        <v>30</v>
      </c>
      <c r="X13" s="1">
        <v>1</v>
      </c>
      <c r="Y13" s="1">
        <v>2</v>
      </c>
      <c r="Z13" s="1">
        <v>0</v>
      </c>
      <c r="AA13" s="1">
        <v>2</v>
      </c>
      <c r="AB13" s="1">
        <v>0</v>
      </c>
      <c r="AC13" s="1">
        <v>10</v>
      </c>
      <c r="AD13" s="1">
        <v>8</v>
      </c>
      <c r="AE13" s="1">
        <v>9</v>
      </c>
      <c r="AF13" s="1" t="str">
        <f>_xlfn.XLOOKUP(StudentData[[#This Row],[Final Score]],GradeTbl[Score],GradeTbl[Grade],,1)</f>
        <v>D</v>
      </c>
    </row>
    <row r="14" spans="2:32" ht="16.5" customHeight="1" x14ac:dyDescent="0.25">
      <c r="B14" s="19">
        <v>13</v>
      </c>
      <c r="C14" s="19" t="str">
        <v>M</v>
      </c>
      <c r="D14" s="19"/>
      <c r="E14" s="37" t="str">
        <v>C</v>
      </c>
      <c r="F14" s="20" t="str">
        <v/>
      </c>
      <c r="G14" s="21" t="str">
        <v/>
      </c>
      <c r="H14" s="22" t="str">
        <v>l</v>
      </c>
      <c r="I14" s="23" t="str">
        <v/>
      </c>
      <c r="J14" s="24" t="str">
        <v/>
      </c>
      <c r="K14" s="25">
        <v>11</v>
      </c>
      <c r="L14" s="38"/>
      <c r="M14" s="26"/>
      <c r="N14" s="27">
        <v>0</v>
      </c>
      <c r="O14" s="28" t="str">
        <v>------I</v>
      </c>
      <c r="P14" s="29">
        <v>2</v>
      </c>
      <c r="Q14" s="29">
        <v>2</v>
      </c>
      <c r="R14" s="29" t="str">
        <v>3 +</v>
      </c>
      <c r="S14" s="40" t="str">
        <v>🤍🤍🤍</v>
      </c>
      <c r="T14" s="7"/>
      <c r="U14" s="1">
        <v>11</v>
      </c>
      <c r="V14" s="1" t="s">
        <v>3</v>
      </c>
      <c r="W14" s="1" t="s">
        <v>30</v>
      </c>
      <c r="X14" s="1">
        <v>3</v>
      </c>
      <c r="Y14" s="1">
        <v>3</v>
      </c>
      <c r="Z14" s="1">
        <v>0</v>
      </c>
      <c r="AA14" s="1">
        <v>4</v>
      </c>
      <c r="AB14" s="1">
        <v>4</v>
      </c>
      <c r="AC14" s="1">
        <v>10</v>
      </c>
      <c r="AD14" s="1">
        <v>12</v>
      </c>
      <c r="AE14" s="1">
        <v>12</v>
      </c>
      <c r="AF14" s="1" t="str">
        <f>_xlfn.XLOOKUP(StudentData[[#This Row],[Final Score]],GradeTbl[Score],GradeTbl[Grade],,1)</f>
        <v>C</v>
      </c>
    </row>
    <row r="15" spans="2:32" ht="16.5" customHeight="1" x14ac:dyDescent="0.25">
      <c r="B15" s="19">
        <v>14</v>
      </c>
      <c r="C15" s="19" t="str">
        <v>M</v>
      </c>
      <c r="D15" s="19"/>
      <c r="E15" s="37" t="str">
        <v>A</v>
      </c>
      <c r="F15" s="20" t="str">
        <v/>
      </c>
      <c r="G15" s="21" t="str">
        <v/>
      </c>
      <c r="H15" s="22" t="str">
        <v/>
      </c>
      <c r="I15" s="23" t="str">
        <v/>
      </c>
      <c r="J15" s="24" t="str">
        <v>l</v>
      </c>
      <c r="K15" s="25">
        <v>16</v>
      </c>
      <c r="L15" s="38"/>
      <c r="M15" s="26"/>
      <c r="N15" s="27">
        <v>0</v>
      </c>
      <c r="O15" s="28" t="str">
        <v>---------I</v>
      </c>
      <c r="P15" s="29">
        <v>0</v>
      </c>
      <c r="Q15" s="29">
        <v>1</v>
      </c>
      <c r="R15" s="29" t="str">
        <v>3 +</v>
      </c>
      <c r="S15" s="40" t="str">
        <v>🤍🤍🤍</v>
      </c>
      <c r="T15" s="7"/>
      <c r="U15" s="1">
        <v>12</v>
      </c>
      <c r="V15" s="1" t="s">
        <v>5</v>
      </c>
      <c r="W15" s="1" t="s">
        <v>29</v>
      </c>
      <c r="X15" s="1">
        <v>1</v>
      </c>
      <c r="Y15" s="1">
        <v>1</v>
      </c>
      <c r="Z15" s="1">
        <v>0</v>
      </c>
      <c r="AA15" s="1">
        <v>5</v>
      </c>
      <c r="AB15" s="1">
        <v>2</v>
      </c>
      <c r="AC15" s="1">
        <v>14</v>
      </c>
      <c r="AD15" s="1">
        <v>14</v>
      </c>
      <c r="AE15" s="1">
        <v>14</v>
      </c>
      <c r="AF15" s="1" t="str">
        <f>_xlfn.XLOOKUP(StudentData[[#This Row],[Final Score]],GradeTbl[Score],GradeTbl[Grade],,1)</f>
        <v>B</v>
      </c>
    </row>
    <row r="16" spans="2:32" ht="16.5" customHeight="1" x14ac:dyDescent="0.25">
      <c r="B16" s="19">
        <v>11</v>
      </c>
      <c r="C16" s="19" t="str">
        <v>F</v>
      </c>
      <c r="D16" s="19"/>
      <c r="E16" s="37" t="str">
        <v>C</v>
      </c>
      <c r="F16" s="20" t="str">
        <v/>
      </c>
      <c r="G16" s="21" t="str">
        <v/>
      </c>
      <c r="H16" s="22" t="str">
        <v>l</v>
      </c>
      <c r="I16" s="23" t="str">
        <v/>
      </c>
      <c r="J16" s="24" t="str">
        <v/>
      </c>
      <c r="K16" s="25">
        <v>12</v>
      </c>
      <c r="L16" s="38"/>
      <c r="M16" s="26"/>
      <c r="N16" s="27">
        <v>0</v>
      </c>
      <c r="O16" s="28" t="str">
        <v>---------I</v>
      </c>
      <c r="P16" s="29">
        <v>4</v>
      </c>
      <c r="Q16" s="29">
        <v>3</v>
      </c>
      <c r="R16" s="29" t="str">
        <v>3 +</v>
      </c>
      <c r="S16" s="40" t="str">
        <v>🤍🤍🤍🤍</v>
      </c>
      <c r="T16" s="7"/>
      <c r="U16" s="1">
        <v>13</v>
      </c>
      <c r="V16" s="1" t="s">
        <v>5</v>
      </c>
      <c r="W16" s="1" t="s">
        <v>30</v>
      </c>
      <c r="X16" s="1">
        <v>2</v>
      </c>
      <c r="Y16" s="1">
        <v>2</v>
      </c>
      <c r="Z16" s="1">
        <v>0</v>
      </c>
      <c r="AA16" s="1">
        <v>3</v>
      </c>
      <c r="AB16" s="1">
        <v>2</v>
      </c>
      <c r="AC16" s="1">
        <v>10</v>
      </c>
      <c r="AD16" s="1">
        <v>10</v>
      </c>
      <c r="AE16" s="1">
        <v>11</v>
      </c>
      <c r="AF16" s="1" t="str">
        <f>_xlfn.XLOOKUP(StudentData[[#This Row],[Final Score]],GradeTbl[Score],GradeTbl[Grade],,1)</f>
        <v>C</v>
      </c>
    </row>
    <row r="17" spans="2:32" ht="16.5" customHeight="1" x14ac:dyDescent="0.25">
      <c r="B17" s="19">
        <v>17</v>
      </c>
      <c r="C17" s="19" t="str">
        <v>F</v>
      </c>
      <c r="D17" s="19"/>
      <c r="E17" s="37" t="str">
        <v>D</v>
      </c>
      <c r="F17" s="20" t="str">
        <v/>
      </c>
      <c r="G17" s="21" t="str">
        <v>l</v>
      </c>
      <c r="H17" s="22" t="str">
        <v/>
      </c>
      <c r="I17" s="23" t="str">
        <v/>
      </c>
      <c r="J17" s="24" t="str">
        <v/>
      </c>
      <c r="K17" s="25">
        <v>10</v>
      </c>
      <c r="L17" s="38"/>
      <c r="M17" s="26"/>
      <c r="N17" s="27">
        <v>0</v>
      </c>
      <c r="O17" s="28" t="str">
        <v>------I</v>
      </c>
      <c r="P17" s="29">
        <v>4</v>
      </c>
      <c r="Q17" s="29">
        <v>3</v>
      </c>
      <c r="R17" s="29" t="str">
        <v>3 +</v>
      </c>
      <c r="S17" s="40" t="str">
        <v>🤍🤍🤍🤍</v>
      </c>
      <c r="T17" s="7"/>
      <c r="U17" s="1">
        <v>14</v>
      </c>
      <c r="V17" s="1" t="s">
        <v>5</v>
      </c>
      <c r="W17" s="1" t="s">
        <v>30</v>
      </c>
      <c r="X17" s="1">
        <v>1</v>
      </c>
      <c r="Y17" s="1">
        <v>3</v>
      </c>
      <c r="Z17" s="1">
        <v>0</v>
      </c>
      <c r="AA17" s="1">
        <v>3</v>
      </c>
      <c r="AB17" s="1">
        <v>0</v>
      </c>
      <c r="AC17" s="1">
        <v>14</v>
      </c>
      <c r="AD17" s="1">
        <v>16</v>
      </c>
      <c r="AE17" s="1">
        <v>16</v>
      </c>
      <c r="AF17" s="1" t="str">
        <f>_xlfn.XLOOKUP(StudentData[[#This Row],[Final Score]],GradeTbl[Score],GradeTbl[Grade],,1)</f>
        <v>A</v>
      </c>
    </row>
    <row r="18" spans="2:32" ht="16.5" customHeight="1" x14ac:dyDescent="0.25">
      <c r="B18" s="19">
        <v>3</v>
      </c>
      <c r="C18" s="19" t="str">
        <v>F</v>
      </c>
      <c r="D18" s="19"/>
      <c r="E18" s="37" t="str">
        <v>A</v>
      </c>
      <c r="F18" s="20" t="str">
        <v/>
      </c>
      <c r="G18" s="21" t="str">
        <v/>
      </c>
      <c r="H18" s="22" t="str">
        <v/>
      </c>
      <c r="I18" s="23" t="str">
        <v/>
      </c>
      <c r="J18" s="24" t="str">
        <v>l</v>
      </c>
      <c r="K18" s="25">
        <v>15</v>
      </c>
      <c r="L18" s="38"/>
      <c r="M18" s="26"/>
      <c r="N18" s="27">
        <v>0</v>
      </c>
      <c r="O18" s="28" t="str">
        <v>---------I</v>
      </c>
      <c r="P18" s="29">
        <v>2</v>
      </c>
      <c r="Q18" s="29">
        <v>1</v>
      </c>
      <c r="R18" s="29" t="str">
        <v>3 +</v>
      </c>
      <c r="S18" s="40" t="str">
        <v>🤍🤍🤍🤍🤍</v>
      </c>
      <c r="T18" s="7"/>
      <c r="U18" s="1">
        <v>15</v>
      </c>
      <c r="V18" s="1" t="s">
        <v>3</v>
      </c>
      <c r="W18" s="1" t="s">
        <v>30</v>
      </c>
      <c r="X18" s="1">
        <v>1</v>
      </c>
      <c r="Y18" s="1">
        <v>1</v>
      </c>
      <c r="Z18" s="1">
        <v>0</v>
      </c>
      <c r="AA18" s="1">
        <v>2</v>
      </c>
      <c r="AB18" s="1">
        <v>4</v>
      </c>
      <c r="AC18" s="1">
        <v>14</v>
      </c>
      <c r="AD18" s="1">
        <v>14</v>
      </c>
      <c r="AE18" s="1">
        <v>14</v>
      </c>
      <c r="AF18" s="1" t="str">
        <f>_xlfn.XLOOKUP(StudentData[[#This Row],[Final Score]],GradeTbl[Score],GradeTbl[Grade],,1)</f>
        <v>B</v>
      </c>
    </row>
    <row r="19" spans="2:32" ht="16.5" customHeight="1" x14ac:dyDescent="0.25">
      <c r="B19" s="19">
        <v>4</v>
      </c>
      <c r="C19" s="19" t="str">
        <v>F</v>
      </c>
      <c r="D19" s="19"/>
      <c r="E19" s="37" t="str">
        <v>D</v>
      </c>
      <c r="F19" s="20" t="str">
        <v/>
      </c>
      <c r="G19" s="21" t="str">
        <v>l</v>
      </c>
      <c r="H19" s="22" t="str">
        <v/>
      </c>
      <c r="I19" s="23" t="str">
        <v/>
      </c>
      <c r="J19" s="24" t="str">
        <v/>
      </c>
      <c r="K19" s="25">
        <v>10</v>
      </c>
      <c r="L19" s="38"/>
      <c r="M19" s="26"/>
      <c r="N19" s="27">
        <v>0</v>
      </c>
      <c r="O19" s="28" t="str">
        <v>------I</v>
      </c>
      <c r="P19" s="29">
        <v>4</v>
      </c>
      <c r="Q19" s="29">
        <v>1</v>
      </c>
      <c r="R19" s="29" t="str">
        <v>3 +</v>
      </c>
      <c r="S19" s="40" t="str">
        <v>🤍🤍🤍🤍🤍</v>
      </c>
      <c r="T19" s="7"/>
      <c r="U19" s="1">
        <v>16</v>
      </c>
      <c r="V19" s="1" t="s">
        <v>3</v>
      </c>
      <c r="W19" s="1" t="s">
        <v>30</v>
      </c>
      <c r="X19" s="1">
        <v>1</v>
      </c>
      <c r="Y19" s="1">
        <v>3</v>
      </c>
      <c r="Z19" s="1">
        <v>0</v>
      </c>
      <c r="AA19" s="1">
        <v>2</v>
      </c>
      <c r="AB19" s="1">
        <v>6</v>
      </c>
      <c r="AC19" s="1">
        <v>13</v>
      </c>
      <c r="AD19" s="1">
        <v>14</v>
      </c>
      <c r="AE19" s="1">
        <v>14</v>
      </c>
      <c r="AF19" s="1" t="str">
        <f>_xlfn.XLOOKUP(StudentData[[#This Row],[Final Score]],GradeTbl[Score],GradeTbl[Grade],,1)</f>
        <v>B</v>
      </c>
    </row>
    <row r="20" spans="2:32" ht="16.5" customHeight="1" x14ac:dyDescent="0.25">
      <c r="B20" s="19">
        <v>5</v>
      </c>
      <c r="C20" s="19" t="str">
        <v>M</v>
      </c>
      <c r="D20" s="19"/>
      <c r="E20" s="37" t="str">
        <v>A</v>
      </c>
      <c r="F20" s="20" t="str">
        <v/>
      </c>
      <c r="G20" s="21" t="str">
        <v/>
      </c>
      <c r="H20" s="22" t="str">
        <v/>
      </c>
      <c r="I20" s="23" t="str">
        <v/>
      </c>
      <c r="J20" s="24" t="str">
        <v>l</v>
      </c>
      <c r="K20" s="25">
        <v>15</v>
      </c>
      <c r="L20" s="38"/>
      <c r="M20" s="26"/>
      <c r="N20" s="27">
        <v>0</v>
      </c>
      <c r="O20" s="28" t="str">
        <v>------I</v>
      </c>
      <c r="P20" s="29">
        <v>10</v>
      </c>
      <c r="Q20" s="29">
        <v>1</v>
      </c>
      <c r="R20" s="29" t="str">
        <v>&lt; 3</v>
      </c>
      <c r="S20" s="40" t="str">
        <v>🤍🤍🤍🤍🤍</v>
      </c>
      <c r="T20" s="7"/>
      <c r="U20" s="1">
        <v>17</v>
      </c>
      <c r="V20" s="1" t="s">
        <v>3</v>
      </c>
      <c r="W20" s="1" t="s">
        <v>30</v>
      </c>
      <c r="X20" s="1">
        <v>3</v>
      </c>
      <c r="Y20" s="1">
        <v>2</v>
      </c>
      <c r="Z20" s="1">
        <v>0</v>
      </c>
      <c r="AA20" s="1">
        <v>4</v>
      </c>
      <c r="AB20" s="1">
        <v>4</v>
      </c>
      <c r="AC20" s="1">
        <v>8</v>
      </c>
      <c r="AD20" s="1">
        <v>10</v>
      </c>
      <c r="AE20" s="1">
        <v>10</v>
      </c>
      <c r="AF20" s="1" t="str">
        <f>_xlfn.XLOOKUP(StudentData[[#This Row],[Final Score]],GradeTbl[Score],GradeTbl[Grade],,1)</f>
        <v>D</v>
      </c>
    </row>
    <row r="21" spans="2:32" ht="16.5" customHeight="1" x14ac:dyDescent="0.25">
      <c r="B21" s="19">
        <v>9</v>
      </c>
      <c r="C21" s="19" t="str">
        <v>M</v>
      </c>
      <c r="D21" s="19"/>
      <c r="E21" s="37" t="str">
        <v>A</v>
      </c>
      <c r="F21" s="20" t="str">
        <v/>
      </c>
      <c r="G21" s="21" t="str">
        <v/>
      </c>
      <c r="H21" s="22" t="str">
        <v/>
      </c>
      <c r="I21" s="23" t="str">
        <v/>
      </c>
      <c r="J21" s="24" t="str">
        <v>l</v>
      </c>
      <c r="K21" s="25">
        <v>15</v>
      </c>
      <c r="L21" s="38"/>
      <c r="M21" s="26"/>
      <c r="N21" s="27">
        <v>0</v>
      </c>
      <c r="O21" s="28" t="str">
        <v>------I</v>
      </c>
      <c r="P21" s="29">
        <v>0</v>
      </c>
      <c r="Q21" s="29">
        <v>1</v>
      </c>
      <c r="R21" s="29" t="str">
        <v>3 +</v>
      </c>
      <c r="S21" s="40" t="str">
        <v>🤍🤍🤍🤍🤍</v>
      </c>
      <c r="T21" s="7"/>
      <c r="U21" s="1">
        <v>18</v>
      </c>
      <c r="V21" s="1" t="s">
        <v>5</v>
      </c>
      <c r="W21" s="1" t="s">
        <v>30</v>
      </c>
      <c r="X21" s="1">
        <v>1</v>
      </c>
      <c r="Y21" s="1">
        <v>1</v>
      </c>
      <c r="Z21" s="1">
        <v>3</v>
      </c>
      <c r="AA21" s="1">
        <v>5</v>
      </c>
      <c r="AB21" s="1">
        <v>16</v>
      </c>
      <c r="AC21" s="1">
        <v>6</v>
      </c>
      <c r="AD21" s="1">
        <v>5</v>
      </c>
      <c r="AE21" s="1">
        <v>5</v>
      </c>
      <c r="AF21" s="1" t="str">
        <f>_xlfn.XLOOKUP(StudentData[[#This Row],[Final Score]],GradeTbl[Score],GradeTbl[Grade],,1)</f>
        <v>F</v>
      </c>
    </row>
    <row r="22" spans="2:32" ht="16.5" customHeight="1" x14ac:dyDescent="0.25">
      <c r="B22" s="19">
        <v>12</v>
      </c>
      <c r="C22" s="19" t="str">
        <v>M</v>
      </c>
      <c r="D22" s="19"/>
      <c r="E22" s="37" t="str">
        <v>B</v>
      </c>
      <c r="F22" s="20" t="str">
        <v/>
      </c>
      <c r="G22" s="21" t="str">
        <v/>
      </c>
      <c r="H22" s="22" t="str">
        <v/>
      </c>
      <c r="I22" s="23" t="str">
        <v>l</v>
      </c>
      <c r="J22" s="24" t="str">
        <v/>
      </c>
      <c r="K22" s="25">
        <v>14</v>
      </c>
      <c r="L22" s="38"/>
      <c r="M22" s="26"/>
      <c r="N22" s="27">
        <v>0</v>
      </c>
      <c r="O22" s="28" t="str">
        <v>---I</v>
      </c>
      <c r="P22" s="29">
        <v>2</v>
      </c>
      <c r="Q22" s="29">
        <v>1</v>
      </c>
      <c r="R22" s="29" t="str">
        <v>&lt; 3</v>
      </c>
      <c r="S22" s="40" t="str">
        <v>🤍🤍🤍🤍🤍</v>
      </c>
      <c r="T22" s="7"/>
      <c r="U22" s="1">
        <v>19</v>
      </c>
      <c r="V22" s="1" t="s">
        <v>5</v>
      </c>
      <c r="W22" s="1" t="s">
        <v>29</v>
      </c>
      <c r="X22" s="1">
        <v>1</v>
      </c>
      <c r="Y22" s="1">
        <v>1</v>
      </c>
      <c r="Z22" s="1">
        <v>0</v>
      </c>
      <c r="AA22" s="1">
        <v>5</v>
      </c>
      <c r="AB22" s="1">
        <v>4</v>
      </c>
      <c r="AC22" s="1">
        <v>8</v>
      </c>
      <c r="AD22" s="1">
        <v>10</v>
      </c>
      <c r="AE22" s="1">
        <v>10</v>
      </c>
      <c r="AF22" s="1" t="str">
        <f>_xlfn.XLOOKUP(StudentData[[#This Row],[Final Score]],GradeTbl[Score],GradeTbl[Grade],,1)</f>
        <v>D</v>
      </c>
    </row>
    <row r="23" spans="2:32" ht="16.5" customHeight="1" x14ac:dyDescent="0.25">
      <c r="B23" s="19">
        <v>18</v>
      </c>
      <c r="C23" s="19" t="str">
        <v>M</v>
      </c>
      <c r="D23" s="19"/>
      <c r="E23" s="37" t="str">
        <v>F</v>
      </c>
      <c r="F23" s="20" t="str">
        <v>l</v>
      </c>
      <c r="G23" s="21" t="str">
        <v/>
      </c>
      <c r="H23" s="22" t="str">
        <v/>
      </c>
      <c r="I23" s="23" t="str">
        <v/>
      </c>
      <c r="J23" s="24" t="str">
        <v/>
      </c>
      <c r="K23" s="25">
        <v>5</v>
      </c>
      <c r="L23" s="38"/>
      <c r="M23" s="26"/>
      <c r="N23" s="27">
        <v>3</v>
      </c>
      <c r="O23" s="28" t="str">
        <v>---I</v>
      </c>
      <c r="P23" s="29">
        <v>16</v>
      </c>
      <c r="Q23" s="29">
        <v>1</v>
      </c>
      <c r="R23" s="29" t="str">
        <v>3 +</v>
      </c>
      <c r="S23" s="40" t="str">
        <v>🤍🤍🤍🤍🤍</v>
      </c>
      <c r="T23" s="7"/>
      <c r="U23" s="1">
        <v>20</v>
      </c>
      <c r="V23" s="1" t="s">
        <v>5</v>
      </c>
      <c r="W23" s="1" t="s">
        <v>30</v>
      </c>
      <c r="X23" s="1">
        <v>1</v>
      </c>
      <c r="Y23" s="1">
        <v>2</v>
      </c>
      <c r="Z23" s="1">
        <v>0</v>
      </c>
      <c r="AA23" s="1">
        <v>1</v>
      </c>
      <c r="AB23" s="1">
        <v>0</v>
      </c>
      <c r="AC23" s="1">
        <v>13</v>
      </c>
      <c r="AD23" s="1">
        <v>14</v>
      </c>
      <c r="AE23" s="1">
        <v>15</v>
      </c>
      <c r="AF23" s="1" t="str">
        <f>_xlfn.XLOOKUP(StudentData[[#This Row],[Final Score]],GradeTbl[Score],GradeTbl[Grade],,1)</f>
        <v>A</v>
      </c>
    </row>
    <row r="24" spans="2:32" ht="16.5" customHeight="1" x14ac:dyDescent="0.25">
      <c r="B24" s="19">
        <v>19</v>
      </c>
      <c r="C24" s="19" t="str">
        <v>M</v>
      </c>
      <c r="D24" s="19"/>
      <c r="E24" s="37" t="str">
        <v>D</v>
      </c>
      <c r="F24" s="20" t="str">
        <v/>
      </c>
      <c r="G24" s="21" t="str">
        <v>l</v>
      </c>
      <c r="H24" s="22" t="str">
        <v/>
      </c>
      <c r="I24" s="23" t="str">
        <v/>
      </c>
      <c r="J24" s="24" t="str">
        <v/>
      </c>
      <c r="K24" s="25">
        <v>10</v>
      </c>
      <c r="L24" s="38"/>
      <c r="M24" s="26"/>
      <c r="N24" s="27">
        <v>0</v>
      </c>
      <c r="O24" s="28" t="str">
        <v>---I</v>
      </c>
      <c r="P24" s="29">
        <v>4</v>
      </c>
      <c r="Q24" s="29">
        <v>1</v>
      </c>
      <c r="R24" s="29" t="str">
        <v>&lt; 3</v>
      </c>
      <c r="S24" s="40" t="str">
        <v>🤍🤍🤍🤍🤍</v>
      </c>
      <c r="T24" s="7"/>
      <c r="U24" s="1">
        <v>21</v>
      </c>
      <c r="V24" s="1" t="s">
        <v>5</v>
      </c>
      <c r="W24" s="1" t="s">
        <v>30</v>
      </c>
      <c r="X24" s="1">
        <v>1</v>
      </c>
      <c r="Y24" s="1">
        <v>1</v>
      </c>
      <c r="Z24" s="1">
        <v>0</v>
      </c>
      <c r="AA24" s="1">
        <v>5</v>
      </c>
      <c r="AB24" s="1">
        <v>0</v>
      </c>
      <c r="AC24" s="1">
        <v>12</v>
      </c>
      <c r="AD24" s="1">
        <v>15</v>
      </c>
      <c r="AE24" s="1">
        <v>15</v>
      </c>
      <c r="AF24" s="1" t="str">
        <f>_xlfn.XLOOKUP(StudentData[[#This Row],[Final Score]],GradeTbl[Score],GradeTbl[Grade],,1)</f>
        <v>A</v>
      </c>
    </row>
    <row r="25" spans="2:32" ht="16.5" customHeight="1" x14ac:dyDescent="0.25">
      <c r="B25" s="19">
        <v>21</v>
      </c>
      <c r="C25" s="19" t="str">
        <v>M</v>
      </c>
      <c r="D25" s="19"/>
      <c r="E25" s="37" t="str">
        <v>A</v>
      </c>
      <c r="F25" s="20" t="str">
        <v/>
      </c>
      <c r="G25" s="21" t="str">
        <v/>
      </c>
      <c r="H25" s="22" t="str">
        <v/>
      </c>
      <c r="I25" s="23" t="str">
        <v/>
      </c>
      <c r="J25" s="24" t="str">
        <v>l</v>
      </c>
      <c r="K25" s="25">
        <v>15</v>
      </c>
      <c r="L25" s="38"/>
      <c r="M25" s="26"/>
      <c r="N25" s="27">
        <v>0</v>
      </c>
      <c r="O25" s="28" t="str">
        <v>---I</v>
      </c>
      <c r="P25" s="29">
        <v>0</v>
      </c>
      <c r="Q25" s="29">
        <v>1</v>
      </c>
      <c r="R25" s="29" t="str">
        <v>3 +</v>
      </c>
      <c r="S25" s="40" t="str">
        <v>🤍🤍🤍🤍🤍</v>
      </c>
      <c r="T25" s="7"/>
      <c r="U25" s="1">
        <v>22</v>
      </c>
      <c r="V25" s="1" t="s">
        <v>5</v>
      </c>
      <c r="W25" s="1" t="s">
        <v>29</v>
      </c>
      <c r="X25" s="1">
        <v>1</v>
      </c>
      <c r="Y25" s="1">
        <v>2</v>
      </c>
      <c r="Z25" s="1">
        <v>0</v>
      </c>
      <c r="AA25" s="1">
        <v>5</v>
      </c>
      <c r="AB25" s="1">
        <v>2</v>
      </c>
      <c r="AC25" s="1">
        <v>15</v>
      </c>
      <c r="AD25" s="1">
        <v>15</v>
      </c>
      <c r="AE25" s="1">
        <v>16</v>
      </c>
      <c r="AF25" s="1" t="str">
        <f>_xlfn.XLOOKUP(StudentData[[#This Row],[Final Score]],GradeTbl[Score],GradeTbl[Grade],,1)</f>
        <v>A</v>
      </c>
    </row>
    <row r="26" spans="2:32" ht="16.5" customHeight="1" x14ac:dyDescent="0.25">
      <c r="B26" s="19">
        <v>22</v>
      </c>
      <c r="C26" s="19" t="str">
        <v>M</v>
      </c>
      <c r="D26" s="19"/>
      <c r="E26" s="37" t="str">
        <v>A</v>
      </c>
      <c r="F26" s="20" t="str">
        <v/>
      </c>
      <c r="G26" s="21" t="str">
        <v/>
      </c>
      <c r="H26" s="22" t="str">
        <v/>
      </c>
      <c r="I26" s="23" t="str">
        <v/>
      </c>
      <c r="J26" s="24" t="str">
        <v>l</v>
      </c>
      <c r="K26" s="25">
        <v>16</v>
      </c>
      <c r="L26" s="38"/>
      <c r="M26" s="26"/>
      <c r="N26" s="27">
        <v>0</v>
      </c>
      <c r="O26" s="28" t="str">
        <v>------I</v>
      </c>
      <c r="P26" s="29">
        <v>2</v>
      </c>
      <c r="Q26" s="29">
        <v>1</v>
      </c>
      <c r="R26" s="29" t="str">
        <v>&lt; 3</v>
      </c>
      <c r="S26" s="40" t="str">
        <v>🤍🤍🤍🤍🤍</v>
      </c>
      <c r="T26" s="7"/>
      <c r="U26" s="1">
        <v>23</v>
      </c>
      <c r="V26" s="1" t="s">
        <v>5</v>
      </c>
      <c r="W26" s="1" t="s">
        <v>29</v>
      </c>
      <c r="X26" s="1">
        <v>2</v>
      </c>
      <c r="Y26" s="1">
        <v>2</v>
      </c>
      <c r="Z26" s="1">
        <v>0</v>
      </c>
      <c r="AA26" s="1">
        <v>5</v>
      </c>
      <c r="AB26" s="1">
        <v>0</v>
      </c>
      <c r="AC26" s="1">
        <v>13</v>
      </c>
      <c r="AD26" s="1">
        <v>13</v>
      </c>
      <c r="AE26" s="1">
        <v>12</v>
      </c>
      <c r="AF26" s="1" t="str">
        <f>_xlfn.XLOOKUP(StudentData[[#This Row],[Final Score]],GradeTbl[Score],GradeTbl[Grade],,1)</f>
        <v>C</v>
      </c>
    </row>
    <row r="27" spans="2:32" ht="16.5" customHeight="1" x14ac:dyDescent="0.25">
      <c r="B27" s="19">
        <v>23</v>
      </c>
      <c r="C27" s="19" t="str">
        <v>M</v>
      </c>
      <c r="D27" s="19"/>
      <c r="E27" s="37" t="str">
        <v>C</v>
      </c>
      <c r="F27" s="20" t="str">
        <v/>
      </c>
      <c r="G27" s="21" t="str">
        <v/>
      </c>
      <c r="H27" s="22" t="str">
        <v>l</v>
      </c>
      <c r="I27" s="23" t="str">
        <v/>
      </c>
      <c r="J27" s="24" t="str">
        <v/>
      </c>
      <c r="K27" s="25">
        <v>12</v>
      </c>
      <c r="L27" s="38"/>
      <c r="M27" s="26"/>
      <c r="N27" s="27">
        <v>0</v>
      </c>
      <c r="O27" s="28" t="str">
        <v>------I</v>
      </c>
      <c r="P27" s="29">
        <v>0</v>
      </c>
      <c r="Q27" s="29">
        <v>2</v>
      </c>
      <c r="R27" s="29" t="str">
        <v>&lt; 3</v>
      </c>
      <c r="S27" s="40" t="str">
        <v>🤍🤍🤍🤍🤍</v>
      </c>
      <c r="T27" s="7"/>
      <c r="U27" s="1">
        <v>24</v>
      </c>
      <c r="V27" s="1" t="s">
        <v>3</v>
      </c>
      <c r="W27" s="1" t="s">
        <v>30</v>
      </c>
      <c r="X27" s="1">
        <v>1</v>
      </c>
      <c r="Y27" s="1">
        <v>3</v>
      </c>
      <c r="Z27" s="1">
        <v>0</v>
      </c>
      <c r="AA27" s="1">
        <v>5</v>
      </c>
      <c r="AB27" s="1">
        <v>2</v>
      </c>
      <c r="AC27" s="1">
        <v>10</v>
      </c>
      <c r="AD27" s="1">
        <v>9</v>
      </c>
      <c r="AE27" s="1">
        <v>8</v>
      </c>
      <c r="AF27" s="1" t="str">
        <f>_xlfn.XLOOKUP(StudentData[[#This Row],[Final Score]],GradeTbl[Score],GradeTbl[Grade],,1)</f>
        <v>F</v>
      </c>
    </row>
    <row r="28" spans="2:32" ht="16.5" customHeight="1" x14ac:dyDescent="0.25">
      <c r="B28" s="19">
        <v>24</v>
      </c>
      <c r="C28" s="19" t="str">
        <v>F</v>
      </c>
      <c r="D28" s="19"/>
      <c r="E28" s="37" t="str">
        <v>F</v>
      </c>
      <c r="F28" s="20" t="str">
        <v>l</v>
      </c>
      <c r="G28" s="21" t="str">
        <v/>
      </c>
      <c r="H28" s="22" t="str">
        <v/>
      </c>
      <c r="I28" s="23" t="str">
        <v/>
      </c>
      <c r="J28" s="24" t="str">
        <v/>
      </c>
      <c r="K28" s="25">
        <v>8</v>
      </c>
      <c r="L28" s="38"/>
      <c r="M28" s="26"/>
      <c r="N28" s="27">
        <v>0</v>
      </c>
      <c r="O28" s="28" t="str">
        <v>---------I</v>
      </c>
      <c r="P28" s="29">
        <v>2</v>
      </c>
      <c r="Q28" s="29">
        <v>1</v>
      </c>
      <c r="R28" s="29" t="str">
        <v>3 +</v>
      </c>
      <c r="S28" s="40" t="str">
        <v>🤍🤍🤍🤍🤍</v>
      </c>
      <c r="T28" s="7"/>
      <c r="U28" s="1">
        <v>25</v>
      </c>
      <c r="V28" s="1" t="s">
        <v>3</v>
      </c>
      <c r="W28" s="1" t="s">
        <v>30</v>
      </c>
      <c r="X28" s="1">
        <v>1</v>
      </c>
      <c r="Y28" s="1">
        <v>1</v>
      </c>
      <c r="Z28" s="1">
        <v>2</v>
      </c>
      <c r="AA28" s="1">
        <v>5</v>
      </c>
      <c r="AB28" s="1">
        <v>14</v>
      </c>
      <c r="AC28" s="1">
        <v>6</v>
      </c>
      <c r="AD28" s="1">
        <v>9</v>
      </c>
      <c r="AE28" s="1">
        <v>8</v>
      </c>
      <c r="AF28" s="1" t="str">
        <f>_xlfn.XLOOKUP(StudentData[[#This Row],[Final Score]],GradeTbl[Score],GradeTbl[Grade],,1)</f>
        <v>F</v>
      </c>
    </row>
    <row r="29" spans="2:32" ht="16.5" customHeight="1" x14ac:dyDescent="0.25">
      <c r="B29" s="19">
        <v>25</v>
      </c>
      <c r="C29" s="19" t="str">
        <v>F</v>
      </c>
      <c r="D29" s="19"/>
      <c r="E29" s="37" t="str">
        <v>F</v>
      </c>
      <c r="F29" s="20" t="str">
        <v>l</v>
      </c>
      <c r="G29" s="21" t="str">
        <v/>
      </c>
      <c r="H29" s="22" t="str">
        <v/>
      </c>
      <c r="I29" s="23" t="str">
        <v/>
      </c>
      <c r="J29" s="24" t="str">
        <v/>
      </c>
      <c r="K29" s="25">
        <v>8</v>
      </c>
      <c r="L29" s="38"/>
      <c r="M29" s="26"/>
      <c r="N29" s="27">
        <v>2</v>
      </c>
      <c r="O29" s="28" t="str">
        <v>---I</v>
      </c>
      <c r="P29" s="29">
        <v>14</v>
      </c>
      <c r="Q29" s="29">
        <v>1</v>
      </c>
      <c r="R29" s="29" t="str">
        <v>3 +</v>
      </c>
      <c r="S29" s="40" t="str">
        <v>🤍🤍🤍🤍🤍</v>
      </c>
      <c r="T29" s="7"/>
      <c r="U29" s="1">
        <v>26</v>
      </c>
      <c r="V29" s="1" t="s">
        <v>5</v>
      </c>
      <c r="W29" s="1" t="s">
        <v>30</v>
      </c>
      <c r="X29" s="1">
        <v>1</v>
      </c>
      <c r="Y29" s="1">
        <v>1</v>
      </c>
      <c r="Z29" s="1">
        <v>0</v>
      </c>
      <c r="AA29" s="1">
        <v>5</v>
      </c>
      <c r="AB29" s="1">
        <v>2</v>
      </c>
      <c r="AC29" s="1">
        <v>12</v>
      </c>
      <c r="AD29" s="1">
        <v>12</v>
      </c>
      <c r="AE29" s="1">
        <v>11</v>
      </c>
      <c r="AF29" s="1" t="str">
        <f>_xlfn.XLOOKUP(StudentData[[#This Row],[Final Score]],GradeTbl[Score],GradeTbl[Grade],,1)</f>
        <v>C</v>
      </c>
    </row>
    <row r="30" spans="2:32" ht="16.5" customHeight="1" x14ac:dyDescent="0.25">
      <c r="B30" s="19">
        <v>26</v>
      </c>
      <c r="C30" s="19" t="str">
        <v>M</v>
      </c>
      <c r="D30" s="19"/>
      <c r="E30" s="37" t="str">
        <v>C</v>
      </c>
      <c r="F30" s="20" t="str">
        <v/>
      </c>
      <c r="G30" s="21" t="str">
        <v/>
      </c>
      <c r="H30" s="22" t="str">
        <v>l</v>
      </c>
      <c r="I30" s="23" t="str">
        <v/>
      </c>
      <c r="J30" s="24" t="str">
        <v/>
      </c>
      <c r="K30" s="25">
        <v>11</v>
      </c>
      <c r="L30" s="38"/>
      <c r="M30" s="26"/>
      <c r="N30" s="27">
        <v>0</v>
      </c>
      <c r="O30" s="28" t="str">
        <v>---I</v>
      </c>
      <c r="P30" s="29">
        <v>2</v>
      </c>
      <c r="Q30" s="29">
        <v>1</v>
      </c>
      <c r="R30" s="29" t="str">
        <v>3 +</v>
      </c>
      <c r="S30" s="40" t="str">
        <v>🤍🤍🤍🤍🤍</v>
      </c>
      <c r="T30" s="7"/>
      <c r="U30" s="1">
        <v>27</v>
      </c>
      <c r="V30" s="1" t="s">
        <v>5</v>
      </c>
      <c r="W30" s="1" t="s">
        <v>30</v>
      </c>
      <c r="X30" s="1">
        <v>1</v>
      </c>
      <c r="Y30" s="1">
        <v>1</v>
      </c>
      <c r="Z30" s="1">
        <v>0</v>
      </c>
      <c r="AA30" s="1">
        <v>1</v>
      </c>
      <c r="AB30" s="1">
        <v>4</v>
      </c>
      <c r="AC30" s="1">
        <v>15</v>
      </c>
      <c r="AD30" s="1">
        <v>16</v>
      </c>
      <c r="AE30" s="1">
        <v>15</v>
      </c>
      <c r="AF30" s="1" t="str">
        <f>_xlfn.XLOOKUP(StudentData[[#This Row],[Final Score]],GradeTbl[Score],GradeTbl[Grade],,1)</f>
        <v>A</v>
      </c>
    </row>
    <row r="31" spans="2:32" ht="16.5" customHeight="1" x14ac:dyDescent="0.25">
      <c r="B31" s="19">
        <v>28</v>
      </c>
      <c r="C31" s="19" t="str">
        <v>M</v>
      </c>
      <c r="D31" s="19"/>
      <c r="E31" s="37" t="str">
        <v>C</v>
      </c>
      <c r="F31" s="20" t="str">
        <v/>
      </c>
      <c r="G31" s="21" t="str">
        <v/>
      </c>
      <c r="H31" s="22" t="str">
        <v>l</v>
      </c>
      <c r="I31" s="23" t="str">
        <v/>
      </c>
      <c r="J31" s="24" t="str">
        <v/>
      </c>
      <c r="K31" s="25">
        <v>11</v>
      </c>
      <c r="L31" s="38"/>
      <c r="M31" s="26"/>
      <c r="N31" s="27">
        <v>0</v>
      </c>
      <c r="O31" s="28" t="str">
        <v>------I</v>
      </c>
      <c r="P31" s="29">
        <v>4</v>
      </c>
      <c r="Q31" s="29">
        <v>1</v>
      </c>
      <c r="R31" s="29" t="str">
        <v>&lt; 3</v>
      </c>
      <c r="S31" s="40" t="str">
        <v>🤍🤍🤍🤍🤍</v>
      </c>
      <c r="T31" s="7"/>
      <c r="U31" s="1">
        <v>28</v>
      </c>
      <c r="V31" s="1" t="s">
        <v>5</v>
      </c>
      <c r="W31" s="1" t="s">
        <v>29</v>
      </c>
      <c r="X31" s="1">
        <v>1</v>
      </c>
      <c r="Y31" s="1">
        <v>2</v>
      </c>
      <c r="Z31" s="1">
        <v>0</v>
      </c>
      <c r="AA31" s="1">
        <v>5</v>
      </c>
      <c r="AB31" s="1">
        <v>4</v>
      </c>
      <c r="AC31" s="1">
        <v>11</v>
      </c>
      <c r="AD31" s="1">
        <v>11</v>
      </c>
      <c r="AE31" s="1">
        <v>11</v>
      </c>
      <c r="AF31" s="1" t="str">
        <f>_xlfn.XLOOKUP(StudentData[[#This Row],[Final Score]],GradeTbl[Score],GradeTbl[Grade],,1)</f>
        <v>C</v>
      </c>
    </row>
    <row r="32" spans="2:32" ht="16.5" customHeight="1" x14ac:dyDescent="0.25">
      <c r="B32" s="19">
        <v>29</v>
      </c>
      <c r="C32" s="19" t="str">
        <v>M</v>
      </c>
      <c r="D32" s="19"/>
      <c r="E32" s="37" t="str">
        <v>C</v>
      </c>
      <c r="F32" s="20" t="str">
        <v/>
      </c>
      <c r="G32" s="21" t="str">
        <v/>
      </c>
      <c r="H32" s="22" t="str">
        <v>l</v>
      </c>
      <c r="I32" s="23" t="str">
        <v/>
      </c>
      <c r="J32" s="24" t="str">
        <v/>
      </c>
      <c r="K32" s="25">
        <v>11</v>
      </c>
      <c r="L32" s="38"/>
      <c r="M32" s="26"/>
      <c r="N32" s="27">
        <v>0</v>
      </c>
      <c r="O32" s="28" t="str">
        <v>------I</v>
      </c>
      <c r="P32" s="29">
        <v>16</v>
      </c>
      <c r="Q32" s="29">
        <v>1</v>
      </c>
      <c r="R32" s="29" t="str">
        <v>3 +</v>
      </c>
      <c r="S32" s="40" t="str">
        <v>🤍🤍🤍🤍🤍</v>
      </c>
      <c r="T32" s="7"/>
      <c r="U32" s="1">
        <v>29</v>
      </c>
      <c r="V32" s="1" t="s">
        <v>5</v>
      </c>
      <c r="W32" s="1" t="s">
        <v>30</v>
      </c>
      <c r="X32" s="1">
        <v>1</v>
      </c>
      <c r="Y32" s="1">
        <v>2</v>
      </c>
      <c r="Z32" s="1">
        <v>0</v>
      </c>
      <c r="AA32" s="1">
        <v>5</v>
      </c>
      <c r="AB32" s="1">
        <v>16</v>
      </c>
      <c r="AC32" s="1">
        <v>10</v>
      </c>
      <c r="AD32" s="1">
        <v>12</v>
      </c>
      <c r="AE32" s="1">
        <v>11</v>
      </c>
      <c r="AF32" s="1" t="str">
        <f>_xlfn.XLOOKUP(StudentData[[#This Row],[Final Score]],GradeTbl[Score],GradeTbl[Grade],,1)</f>
        <v>C</v>
      </c>
    </row>
    <row r="33" spans="2:32" ht="16.5" customHeight="1" x14ac:dyDescent="0.25">
      <c r="B33" s="19">
        <v>30</v>
      </c>
      <c r="C33" s="19" t="str">
        <v>M</v>
      </c>
      <c r="D33" s="19"/>
      <c r="E33" s="37" t="str">
        <v>C</v>
      </c>
      <c r="F33" s="20" t="str">
        <v/>
      </c>
      <c r="G33" s="21" t="str">
        <v/>
      </c>
      <c r="H33" s="22" t="str">
        <v>l</v>
      </c>
      <c r="I33" s="23" t="str">
        <v/>
      </c>
      <c r="J33" s="24" t="str">
        <v/>
      </c>
      <c r="K33" s="25">
        <v>12</v>
      </c>
      <c r="L33" s="38"/>
      <c r="M33" s="26"/>
      <c r="N33" s="27">
        <v>0</v>
      </c>
      <c r="O33" s="28" t="str">
        <v>------I</v>
      </c>
      <c r="P33" s="29">
        <v>0</v>
      </c>
      <c r="Q33" s="29">
        <v>1</v>
      </c>
      <c r="R33" s="29" t="str">
        <v>3 +</v>
      </c>
      <c r="S33" s="40" t="str">
        <v>🤍🤍🤍🤍🤍</v>
      </c>
      <c r="T33" s="7"/>
      <c r="U33" s="1">
        <v>30</v>
      </c>
      <c r="V33" s="1" t="s">
        <v>5</v>
      </c>
      <c r="W33" s="1" t="s">
        <v>30</v>
      </c>
      <c r="X33" s="1">
        <v>1</v>
      </c>
      <c r="Y33" s="1">
        <v>2</v>
      </c>
      <c r="Z33" s="1">
        <v>0</v>
      </c>
      <c r="AA33" s="1">
        <v>5</v>
      </c>
      <c r="AB33" s="1">
        <v>0</v>
      </c>
      <c r="AC33" s="1">
        <v>9</v>
      </c>
      <c r="AD33" s="1">
        <v>11</v>
      </c>
      <c r="AE33" s="1">
        <v>12</v>
      </c>
      <c r="AF33" s="1" t="str">
        <f>_xlfn.XLOOKUP(StudentData[[#This Row],[Final Score]],GradeTbl[Score],GradeTbl[Grade],,1)</f>
        <v>C</v>
      </c>
    </row>
    <row r="34" spans="2:32" ht="9" customHeight="1" x14ac:dyDescent="0.25"/>
    <row r="35" spans="2:32" ht="51.75" customHeight="1" x14ac:dyDescent="0.25">
      <c r="O35" s="43" t="s">
        <v>46</v>
      </c>
    </row>
  </sheetData>
  <mergeCells count="1">
    <mergeCell ref="U1:AF1"/>
  </mergeCells>
  <conditionalFormatting sqref="P4:P33">
    <cfRule type="dataBar" priority="2">
      <dataBar>
        <cfvo type="min"/>
        <cfvo type="max"/>
        <color rgb="FFB9DFFF"/>
      </dataBar>
      <extLst>
        <ext xmlns:x14="http://schemas.microsoft.com/office/spreadsheetml/2009/9/main" uri="{B025F937-C7B1-47D3-B67F-A62EFF666E3E}">
          <x14:id>{FE66DFE2-0644-4CE0-B5D8-41EB1A933411}</x14:id>
        </ext>
      </extLst>
    </cfRule>
  </conditionalFormatting>
  <conditionalFormatting sqref="Q4:Q33">
    <cfRule type="iconSet" priority="1">
      <iconSet iconSet="5Quarters" showValue="0">
        <cfvo type="percent" val="0"/>
        <cfvo type="num" val="0"/>
        <cfvo type="num" val="2"/>
        <cfvo type="num" val="3"/>
        <cfvo type="num" val="4"/>
      </iconSet>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E66DFE2-0644-4CE0-B5D8-41EB1A933411}">
            <x14:dataBar minLength="0" maxLength="100" gradient="0">
              <x14:cfvo type="autoMin"/>
              <x14:cfvo type="autoMax"/>
              <x14:negativeFillColor rgb="FFFF0000"/>
              <x14:axisColor rgb="FF000000"/>
            </x14:dataBar>
          </x14:cfRule>
          <xm:sqref>P4:P33</xm:sqref>
        </x14:conditionalFormatting>
      </x14:conditionalFormattings>
    </ext>
    <ext xmlns:x14="http://schemas.microsoft.com/office/spreadsheetml/2009/9/main" uri="{05C60535-1F16-4fd2-B633-F4F36F0B64E0}">
      <x14:sparklineGroups xmlns:xm="http://schemas.microsoft.com/office/excel/2006/main">
        <x14:sparklineGroup displayEmptyCellsAs="gap" low="1">
          <x14:colorSeries rgb="FF376092"/>
          <x14:colorNegative rgb="FFD00000"/>
          <x14:colorAxis rgb="FF000000"/>
          <x14:colorMarkers rgb="FFD00000"/>
          <x14:colorFirst rgb="FFD00000"/>
          <x14:colorLast rgb="FFD00000"/>
          <x14:colorHigh rgb="FFD00000"/>
          <x14:colorLow rgb="FFD00000"/>
          <x14:sparklines>
            <x14:sparkline>
              <xm:f>Sparklines</xm:f>
              <xm:sqref>L4</xm:sqref>
            </x14:sparkline>
            <x14:sparkline>
              <xm:f>Sparklines</xm:f>
              <xm:sqref>L5</xm:sqref>
            </x14:sparkline>
            <x14:sparkline>
              <xm:f>Sparklines</xm:f>
              <xm:sqref>L6</xm:sqref>
            </x14:sparkline>
            <x14:sparkline>
              <xm:f>Sparklines</xm:f>
              <xm:sqref>L7</xm:sqref>
            </x14:sparkline>
            <x14:sparkline>
              <xm:f>Sparklines</xm:f>
              <xm:sqref>L8</xm:sqref>
            </x14:sparkline>
            <x14:sparkline>
              <xm:f>Sparklines</xm:f>
              <xm:sqref>L9</xm:sqref>
            </x14:sparkline>
            <x14:sparkline>
              <xm:f>Sparklines</xm:f>
              <xm:sqref>L10</xm:sqref>
            </x14:sparkline>
            <x14:sparkline>
              <xm:f>Sparklines</xm:f>
              <xm:sqref>L11</xm:sqref>
            </x14:sparkline>
            <x14:sparkline>
              <xm:f>Sparklines</xm:f>
              <xm:sqref>L12</xm:sqref>
            </x14:sparkline>
            <x14:sparkline>
              <xm:f>Sparklines</xm:f>
              <xm:sqref>L13</xm:sqref>
            </x14:sparkline>
            <x14:sparkline>
              <xm:f>Sparklines</xm:f>
              <xm:sqref>L14</xm:sqref>
            </x14:sparkline>
            <x14:sparkline>
              <xm:f>Sparklines</xm:f>
              <xm:sqref>L15</xm:sqref>
            </x14:sparkline>
            <x14:sparkline>
              <xm:f>Sparklines</xm:f>
              <xm:sqref>L16</xm:sqref>
            </x14:sparkline>
            <x14:sparkline>
              <xm:f>Sparklines</xm:f>
              <xm:sqref>L17</xm:sqref>
            </x14:sparkline>
            <x14:sparkline>
              <xm:f>Sparklines</xm:f>
              <xm:sqref>L18</xm:sqref>
            </x14:sparkline>
            <x14:sparkline>
              <xm:f>Sparklines</xm:f>
              <xm:sqref>L19</xm:sqref>
            </x14:sparkline>
            <x14:sparkline>
              <xm:f>Sparklines</xm:f>
              <xm:sqref>L20</xm:sqref>
            </x14:sparkline>
            <x14:sparkline>
              <xm:f>Sparklines</xm:f>
              <xm:sqref>L21</xm:sqref>
            </x14:sparkline>
            <x14:sparkline>
              <xm:f>Sparklines</xm:f>
              <xm:sqref>L22</xm:sqref>
            </x14:sparkline>
            <x14:sparkline>
              <xm:f>Sparklines</xm:f>
              <xm:sqref>L23</xm:sqref>
            </x14:sparkline>
            <x14:sparkline>
              <xm:f>Sparklines</xm:f>
              <xm:sqref>L24</xm:sqref>
            </x14:sparkline>
            <x14:sparkline>
              <xm:f>Sparklines</xm:f>
              <xm:sqref>L25</xm:sqref>
            </x14:sparkline>
            <x14:sparkline>
              <xm:f>Sparklines</xm:f>
              <xm:sqref>L26</xm:sqref>
            </x14:sparkline>
            <x14:sparkline>
              <xm:f>Sparklines</xm:f>
              <xm:sqref>L27</xm:sqref>
            </x14:sparkline>
            <x14:sparkline>
              <xm:f>Sparklines</xm:f>
              <xm:sqref>L28</xm:sqref>
            </x14:sparkline>
            <x14:sparkline>
              <xm:f>Sparklines</xm:f>
              <xm:sqref>L29</xm:sqref>
            </x14:sparkline>
            <x14:sparkline>
              <xm:f>Sparklines</xm:f>
              <xm:sqref>L30</xm:sqref>
            </x14:sparkline>
            <x14:sparkline>
              <xm:f>Sparklines</xm:f>
              <xm:sqref>L31</xm:sqref>
            </x14:sparkline>
            <x14:sparkline>
              <xm:f>Sparklines</xm:f>
              <xm:sqref>L32</xm:sqref>
            </x14:sparkline>
            <x14:sparkline>
              <xm:f>Sparklines</xm:f>
              <xm:sqref>L33</xm:sqref>
            </x14:sparkline>
          </x14:sparklines>
        </x14:sparklineGroup>
      </x14:sparklineGroup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7"/>
  <sheetViews>
    <sheetView topLeftCell="A4" workbookViewId="0">
      <selection activeCell="J8" sqref="J8"/>
    </sheetView>
  </sheetViews>
  <sheetFormatPr defaultRowHeight="15" x14ac:dyDescent="0.25"/>
  <cols>
    <col min="2" max="2" width="13.7109375" bestFit="1" customWidth="1"/>
    <col min="4" max="4" width="9.42578125" bestFit="1" customWidth="1"/>
    <col min="5" max="5" width="12.42578125" bestFit="1" customWidth="1"/>
    <col min="6" max="6" width="12.7109375" bestFit="1" customWidth="1"/>
    <col min="7" max="7" width="12.42578125" bestFit="1" customWidth="1"/>
    <col min="8" max="8" width="15.5703125" bestFit="1" customWidth="1"/>
    <col min="9" max="9" width="12.28515625" customWidth="1"/>
    <col min="12" max="12" width="12.42578125" bestFit="1" customWidth="1"/>
    <col min="13" max="13" width="12.7109375" bestFit="1" customWidth="1"/>
  </cols>
  <sheetData>
    <row r="1" spans="2:8" x14ac:dyDescent="0.25">
      <c r="B1" s="44" t="s">
        <v>53</v>
      </c>
    </row>
    <row r="2" spans="2:8" x14ac:dyDescent="0.25">
      <c r="B2" t="s">
        <v>8</v>
      </c>
      <c r="C2" t="s">
        <v>13</v>
      </c>
    </row>
    <row r="3" spans="2:8" x14ac:dyDescent="0.25">
      <c r="B3" t="s">
        <v>4</v>
      </c>
      <c r="C3">
        <v>16</v>
      </c>
    </row>
    <row r="4" spans="2:8" x14ac:dyDescent="0.25">
      <c r="B4" t="s">
        <v>10</v>
      </c>
      <c r="C4">
        <v>14</v>
      </c>
    </row>
    <row r="5" spans="2:8" x14ac:dyDescent="0.25">
      <c r="B5" s="2" t="s">
        <v>11</v>
      </c>
      <c r="C5">
        <v>12</v>
      </c>
    </row>
    <row r="6" spans="2:8" x14ac:dyDescent="0.25">
      <c r="B6" t="s">
        <v>12</v>
      </c>
      <c r="C6">
        <v>10</v>
      </c>
    </row>
    <row r="7" spans="2:8" x14ac:dyDescent="0.25">
      <c r="B7" t="s">
        <v>3</v>
      </c>
      <c r="C7">
        <v>8</v>
      </c>
    </row>
    <row r="10" spans="2:8" x14ac:dyDescent="0.25">
      <c r="B10" s="44" t="s">
        <v>51</v>
      </c>
      <c r="F10" s="44" t="s">
        <v>52</v>
      </c>
    </row>
    <row r="11" spans="2:8" x14ac:dyDescent="0.25">
      <c r="B11" t="s">
        <v>20</v>
      </c>
      <c r="D11" s="5" t="s">
        <v>20</v>
      </c>
      <c r="F11" t="s">
        <v>50</v>
      </c>
      <c r="H11" s="5" t="s">
        <v>50</v>
      </c>
    </row>
    <row r="12" spans="2:8" x14ac:dyDescent="0.25">
      <c r="B12" t="s">
        <v>28</v>
      </c>
      <c r="D12" t="s">
        <v>26</v>
      </c>
      <c r="F12" t="s">
        <v>28</v>
      </c>
      <c r="H12" t="s">
        <v>16</v>
      </c>
    </row>
    <row r="13" spans="2:8" x14ac:dyDescent="0.25">
      <c r="B13" t="s">
        <v>17</v>
      </c>
      <c r="F13" t="s">
        <v>17</v>
      </c>
    </row>
    <row r="14" spans="2:8" x14ac:dyDescent="0.25">
      <c r="B14" t="s">
        <v>16</v>
      </c>
      <c r="F14" t="s">
        <v>16</v>
      </c>
    </row>
    <row r="15" spans="2:8" x14ac:dyDescent="0.25">
      <c r="B15" t="s">
        <v>21</v>
      </c>
      <c r="F15" t="s">
        <v>22</v>
      </c>
    </row>
    <row r="16" spans="2:8" x14ac:dyDescent="0.25">
      <c r="B16" t="s">
        <v>22</v>
      </c>
      <c r="F16" t="s">
        <v>23</v>
      </c>
    </row>
    <row r="17" spans="2:6" x14ac:dyDescent="0.25">
      <c r="B17" t="s">
        <v>23</v>
      </c>
      <c r="F17" t="s">
        <v>26</v>
      </c>
    </row>
    <row r="18" spans="2:6" x14ac:dyDescent="0.25">
      <c r="B18" t="s">
        <v>26</v>
      </c>
    </row>
    <row r="19" spans="2:6" x14ac:dyDescent="0.25">
      <c r="B19" t="s">
        <v>9</v>
      </c>
    </row>
    <row r="22" spans="2:6" x14ac:dyDescent="0.25">
      <c r="B22" s="44" t="s">
        <v>51</v>
      </c>
    </row>
    <row r="23" spans="2:6" x14ac:dyDescent="0.25">
      <c r="B23" t="s">
        <v>32</v>
      </c>
      <c r="C23" t="s">
        <v>35</v>
      </c>
      <c r="E23" s="5" t="s">
        <v>32</v>
      </c>
      <c r="F23" t="s">
        <v>36</v>
      </c>
    </row>
    <row r="24" spans="2:6" x14ac:dyDescent="0.25">
      <c r="B24" t="s">
        <v>33</v>
      </c>
      <c r="C24">
        <v>1</v>
      </c>
      <c r="E24" t="s">
        <v>33</v>
      </c>
      <c r="F24" s="45">
        <v>1</v>
      </c>
    </row>
    <row r="25" spans="2:6" x14ac:dyDescent="0.25">
      <c r="B25" t="s">
        <v>34</v>
      </c>
      <c r="C25">
        <v>-1</v>
      </c>
    </row>
    <row r="28" spans="2:6" x14ac:dyDescent="0.25">
      <c r="B28" s="44" t="s">
        <v>52</v>
      </c>
    </row>
    <row r="29" spans="2:6" x14ac:dyDescent="0.25">
      <c r="B29" t="s">
        <v>32</v>
      </c>
      <c r="C29" t="s">
        <v>35</v>
      </c>
      <c r="E29" s="5" t="s">
        <v>32</v>
      </c>
      <c r="F29" t="s">
        <v>36</v>
      </c>
    </row>
    <row r="30" spans="2:6" x14ac:dyDescent="0.25">
      <c r="B30" t="s">
        <v>33</v>
      </c>
      <c r="C30">
        <v>1</v>
      </c>
      <c r="E30" t="s">
        <v>33</v>
      </c>
      <c r="F30" s="45">
        <v>1</v>
      </c>
    </row>
    <row r="31" spans="2:6" x14ac:dyDescent="0.25">
      <c r="B31" t="s">
        <v>34</v>
      </c>
      <c r="C31">
        <v>0</v>
      </c>
    </row>
    <row r="36" spans="2:5" x14ac:dyDescent="0.25">
      <c r="B36" s="44" t="s">
        <v>49</v>
      </c>
      <c r="C36" s="41" t="s">
        <v>38</v>
      </c>
      <c r="D36" s="41" t="s">
        <v>39</v>
      </c>
      <c r="E36" s="41" t="s">
        <v>40</v>
      </c>
    </row>
    <row r="37" spans="2:5" x14ac:dyDescent="0.25">
      <c r="B37" t="s">
        <v>37</v>
      </c>
      <c r="C37" s="42">
        <f>AVERAGE(StudentData[1st Score])</f>
        <v>10.9</v>
      </c>
      <c r="D37" s="42">
        <f>AVERAGE(StudentData[2nd Score])</f>
        <v>11.666666666666666</v>
      </c>
      <c r="E37" s="42">
        <f>AVERAGE(StudentData[Final Score])</f>
        <v>11.766666666666667</v>
      </c>
    </row>
  </sheetData>
  <pageMargins left="0.7" right="0.7" top="0.75" bottom="0.75" header="0.3" footer="0.3"/>
  <pageSetup paperSize="9" orientation="portrait" r:id="rId5"/>
  <drawing r:id="rId6"/>
  <tableParts count="5">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00A517-D961-4037-909A-5DFE49EF19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Workings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Ram</cp:lastModifiedBy>
  <dcterms:created xsi:type="dcterms:W3CDTF">2019-08-20T08:51:45Z</dcterms:created>
  <dcterms:modified xsi:type="dcterms:W3CDTF">2026-10-05T09:38:53Z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02b84695-4a78-46f7-82bd-1e46fd6e4c51</vt:lpwstr>
  </property>
  <property fmtid="{D5CDD505-2E9C-101B-9397-08002B2CF9AE}" pid="3" name="Workbook type">
    <vt:lpwstr>Custom</vt:lpwstr>
  </property>
  <property fmtid="{D5CDD505-2E9C-101B-9397-08002B2CF9AE}" pid="4" name="Workbook version">
    <vt:lpwstr>Custom</vt:lpwstr>
  </property>
</Properties>
</file>